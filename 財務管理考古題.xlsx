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工作表1" sheetId="1" r:id="rId4"/>
  </sheets>
  <definedNames>
    <definedName hidden="1" localSheetId="0" name="_xlnm._FilterDatabase">'工作表1'!$A$1:$L$475</definedName>
  </definedNames>
  <calcPr/>
  <extLst>
    <ext uri="GoogleSheetsCustomDataVersion2">
      <go:sheetsCustomData xmlns:go="http://customooxmlschemas.google.com/" r:id="rId5" roundtripDataChecksum="C2vpw8nA+jAgK6DQrJjYY8F5xpGBwqosDvSf/cMEeDU="/>
    </ext>
  </extLst>
</workbook>
</file>

<file path=xl/sharedStrings.xml><?xml version="1.0" encoding="utf-8"?>
<sst xmlns="http://schemas.openxmlformats.org/spreadsheetml/2006/main" count="3327" uniqueCount="987">
  <si>
    <t>課程</t>
  </si>
  <si>
    <t>考古題</t>
  </si>
  <si>
    <t>#</t>
  </si>
  <si>
    <t>答案</t>
  </si>
  <si>
    <t>題目</t>
  </si>
  <si>
    <t>補充說明</t>
  </si>
  <si>
    <t>出現次數</t>
  </si>
  <si>
    <t>對應講義章節</t>
  </si>
  <si>
    <t>核心主題</t>
  </si>
  <si>
    <t>財務管理</t>
  </si>
  <si>
    <t>2023/9/2</t>
  </si>
  <si>
    <t>X, 不容易</t>
  </si>
  <si>
    <t>對股份有限公司股東而言，相當於擁有一個買入選擇權（Call Option），其基礎資產是公司總資產。當基礎資產(ST)變動性越大，股權價值越大，越 &lt;span style="color: red; text-decoration: underline;"&gt;容易&lt;/span&gt; 獲利。</t>
  </si>
  <si>
    <t>這個陳述是**錯的**。前半段與中半段的財務學理完全正確，但後半段的「越容易獲利」在學理與實務上均為錯誤的推論，是一個經典的財務概念陷阱。
### 詳細解析：
1. **對股份有限公司股東而言，股權相當於擁有一個買入選擇權（Call Option），其基礎資產是公司總資產：【正確】**
* **學理依據**：在公司理財中（如 Merton 結構模型所述），公司的**股權 (Equity)** 確實可以完美類比為一個買入選擇權（買權）。
* **標的與執行價**：這個買權的**基礎資產 (Underlying Asset)** 是公司的總資產價值 $V_T$，而**執行價格 (Strike Price)** 則是公司的負債面額 $D$。當公司資產價值大於負債（$V_T &gt; D$）時，股東會選擇「執行」權利（即還清負債，拿走剩餘的資產價值）；若資產價值低於負債（$V_T \le D$），股東則會選擇「不執行」並宣告破產（股權價值歸零），將損失限制在出資額內。
2. **當基礎資產的變動性（波動度）越大，股權價值越大：【正確】**
* **不對稱的損益結構**：選擇權具有**「上檔獲利無限，下檔損失有限」**的特性（因為股東享有有限責任，最慘的狀況就是股權歸零，不需自掏腰包貼補債務）。
* **波動度與價值**：資產的變動性（波動度 $\sigma$）越大，代表未來資產價值分布的範圍越寬。這意味著資產價值沖到極高值（讓股東賺大錢）的機率與潛在幅度增加了；雖然往極端低值掉的機會也增加，但股東的損失已被限制在零。因此，**資產波動度（風險）越高，股權（買權）的價值確實會越高**。這也是為什麼股東傾向支持高風險、高成長的再投資計劃。
3. **越容易獲利：【錯誤】**
* **「價值越大」不等於「越容易獲利」**。這是最容易混淆的概念：
* **破產與歸零的風險同樣大幅上升**：變動性越大代表**風險越高、不確定性極大**。雖然股東的下檔損失被鎖定在零，但這也意味著公司資產價值「跌破負債面額」（導致公司破產、股東血本無歸，投資報酬率為 -100%）的機率也顯著提高。
* **期望價值不等於實現機率**：波動度大推升的是股權在評價模型中的「現值（期望價值）」，但在現實營運中，高波動性代表高失敗率。股東實務上要穩定獲得正回報反而更困難，必須面臨極高的血本無歸風險。
* **交易成本高企**：若從選擇權交易角度來看，高波動性資產的買權權利金 (Premium) 非常昂貴，買方要達到「穿價並扣除高昂權利金成本」而獲利，難度實際上更高。
### 結論：
高變動性雖然會透過有限責任與不對稱損益結構，讓「股權現值（選擇權價值）變大」，但這純粹反映了高風險溢酬的期望值。在實務上，高波動性也伴隨著極高幅度的失敗與破產機率，因此**絕對不能說股東「越容易獲利」**。</t>
  </si>
  <si>
    <t>1_公司理財導論_現代財務管理重要的基本觀念與代理問題</t>
  </si>
  <si>
    <t>股權選擇權特性與 Merton 模型</t>
  </si>
  <si>
    <t>X, 大於或等於</t>
  </si>
  <si>
    <t>對股份有限公司股東而言，相當於擁有一個買入選擇權 (Call Option)，當買權報償等於 0 時，執行價格(Strike Price) &lt;span style="color: red; text-decoration: underline;"&gt;一定等於&lt;/span&gt; 公司總資產。對還是錯</t>
  </si>
  <si>
    <t>這個陳述是**錯的**。
### 財務學與選擇權邏輯解析
在公司理財的選擇權定價模型（如 Merton 模型）中，股份有限公司的股權價值可以完美類比為一個以公司總資產為標的資產的**買入選擇權（Call Option）**。
* **標的資產 ($S_T$)**：公司的總資產價值 ($V_T$)。
* **執行價格 (Strike Price, $X$)**：公司的負債面額 ($D$)。
* **買權報償 (Payoff)**：股東在到期時的報償公式為 **$\max(V_T - D, 0)$**。
#### 為什麼「一定等於」的說法是錯誤的？
當**買權報償（Payoff）等於 0** 時，代表：
$$\max(V_T - D, 0) = 0 \implies V_T - D \le 0 \implies D \ge V_T$$
在數學與財務邏輯上，這代表只要**執行價格（負債面額 $D$）大於或等於公司總資產價值（$V_T$）**，股東的報償就會歸零。
* **實例對照**：課堂上曾舉例，若公司的負債面額（執行價格）為 **44 元**。當公司營運不善，總資產價值縮水到 **40 元**時，因為資產小於負債（$V_T &lt; D$），公司陷入資不抵債的狀態。
* 此時，股東會選擇不執行權利（宣告破產，股票變壁紙），股東此時的報償（Payoff）為 **0**。
* 在報償為 0 的這個狀態下，**執行價格（44 元）顯然大於公司總資產（40 元），兩者並不相等**。
因此，當買權報償等於 0 時，執行價格（負債）只需要**大於或等於**公司總資產即可，**不一定**要「等於」公司總資產。該陳述將「大於或等於（$\ge$）」窄化為「一定等於（$=$）」，在學理上是錯誤的。</t>
  </si>
  <si>
    <t>X, ROA</t>
  </si>
  <si>
    <t>計畫評估時，如果總投資金額為 100 億，資金來源為舉債 40 億，權益資金為 60 億，而且假設僅期初投資，未來各期現金流入來回收，而且權益資金的要求報酬率為 RE，計畫(或資產)的未來報酬率為 RA，
 ( ) 當採用內部報酬率(IRR)法時，如果 CF0= -100 億，則所求出的內部報酬(IRR)是 &lt;span style="color: red; text-decoration: underline;"&gt;ROE&lt;/span&gt;。</t>
  </si>
  <si>
    <t>這個敘述是**錯的**（也就是說，您的擬答括號填 **`X` 是正確的**）。
### 財務學理與觀點解析
在進行投資計畫評估時，財務管理強調必須嚴格區分**「資產觀點（計畫觀點）」**與**「股權觀點（股東觀點）」**。不同的觀點下，其期初投入（$CF_0$）、未來各期現金流量（$CF_t$）以及所對應的要求報酬率（折現率）皆截然不同：
1. **資產觀點（Asset / Project Perspective）**：
* **期初投入（$CF_0$）**：必須是**總投資金額 100 億**（不論資金是舉債還是權益，都是投資在資產上）。
* **未來各期現金流（$CF_t$）**：採用**不扣除利息**的計畫營運現金流量 (OCF)。
* **求出的內部報酬率（IRR）**：代表的是 **$R_A$（計畫/資產報酬率）**。
2. **股權觀點（Equity / Shareholder Perspective）**：
* **期初投入（$CF_0$）**：僅計算股東實際掏出的權益資金，即 **60 億**（總投資 100 億 - 舉債 40 億）。
* **未來各期現金流（$CF_t$）**：必須採用**扣除債務利息與還本支出 (Debt Service)** 後的股權現金流量。
* **求出的內部報酬率（IRR）**：才是 **$R_E$（股權要求報酬率 / ROE）**。
### 結論
因為題目中設定的 **$CF_0 = -100$ 億**是「總投資金額」（資產觀點），其未來的現金流在計算時亦不能扣除利息；因此，此時利用 IRR 法所求出的內部報酬率，代表的是 **$R_A$（資產報酬率）**，而非 **ROE（股權報酬率）**。
因此，題目中「所求出的內部報酬 (IRR) 是 ROE」這個命題是**錯誤的 (X)**。
![計畫評估兩大觀點與參數的對稱表](https://lh3.googleusercontent.com/d/19AHIpZjrFSAiQULWROjEVonMtqigR84W)</t>
  </si>
  <si>
    <t>4_資本支出預算決策_內部報酬法</t>
  </si>
  <si>
    <t>財務比率分析(營運力/流動性/償債力/獲利力)</t>
  </si>
  <si>
    <t>X, -100</t>
  </si>
  <si>
    <t>計畫評估時，如果總投資金額為 100 億，資金來源為舉債 40 億，權益資金為 60 億，而且假設僅期初投資，未來各期現金流入來回收，而且權益資金的要求報酬率為 RE，計畫(或資產)的未來報酬率為 RA，
( ) 當採用淨現值法(NPV 法)時，如果未來各期現金流量未扣除債務利息支出，則 CF0= &lt;span style="color: red; text-decoration: underline;"&gt;-60&lt;/span&gt;
億。</t>
  </si>
  <si>
    <t>這個敘述是**錯的**（應填 **`X`**）。
### 財務學理與邏輯解析
這個題目同樣在考驗您對於**「資產觀點」**與**「股權觀點」**在評估 NPV 時的對稱性原則：
1. **資產觀點（Project / Asset Perspective）**：
* **未來現金流量**：**未扣除**債務利息支出（呈現資產本業創造的非槓桿現金流）。
* **期初投入（$CF_0$）**：必須是總投資金額，即 **$-100$ 億**。
* **折現率**：使用加權平均資金成本 (WACC) 或資產報酬率 ($R_A$)。
2. **股權觀點（Equity / Shareholder Perspective）**：
* **未來現金流量**：**必須扣除**債務利息與還本支出（代表真正能分配給股東的槓桿現金流）。
* **期初投入（$CF_0$）**：僅計算股東實際出資額，即 **$-60$ 億**。
* **折現率**：使用股東要求報酬率 ($R_E$)。
### 為什麼這個敘述是錯的？
題目中提到：**「未來各期現金流量未扣除債務利息支出」**，這代表我們採取的是**資產觀點**。
既然是資產觀點，期初投入 $CF_0$ 就必須是整座計畫的總投資金額 **$-100$ 億**，而不能只放股東實際掏出的 **$-60$ 億**。
如果像題目所說的，用未扣除利息的現金流，卻配上 $CF_0 = -60$ 億來計算 NPV，將會**嚴重高估計畫的淨現值 (NPV)**（因為您少計了期初 40 億的投入，卻在未來現金流中把要付給債權人的利息當作是計畫的回收）。這在財務決策中是不可混淆的嚴重錯誤。
![計畫評估兩大觀點與參數的對稱表](https://lh3.googleusercontent.com/d/19AHIpZjrFSAiQULWROjEVonMtqigR84W)</t>
  </si>
  <si>
    <t>4_資本支出預算決策_淨現值法</t>
  </si>
  <si>
    <t>投資評估之資產觀點與股權觀點</t>
  </si>
  <si>
    <t>X, RA</t>
  </si>
  <si>
    <t>計畫評估時，如果總投資金額為 100 億，資金來源為舉債 40 億，權益資金為 60 億，而且假設僅期初投資，未來各期現金流入來回收，而且權益資金的要求報酬率為 RE，計畫(或資產)的未來報酬率為 RA，
( ) 當採用淨現值法(NPV 法)時，如果 CF0=-100 億，則未來各期現金流量的折現率為 &lt;span style="color: red; text-decoration: underline;"&gt;RE&lt;/span&gt;。</t>
  </si>
  <si>
    <t>這個敘述是**錯的**（應填 **`X`**）。
### 財務學理與邏輯解析
這題依然是在考驗您對於**「資產觀點（計畫觀點）」**與**「股權觀點（股東觀點）」**在 NPV 評估中「參數一致性」的掌握：
1. **資產觀點（Project / Asset Perspective）**：
* **期初投入（$CF_0$）**：總投資金額 **$-100$ 億**。
* **未來各期現金流量**：未扣除債務利息支出的計畫營運現金流量。
* **對應的折現率**：必須是**整個計畫（或資產）的未來要求報酬率 $R_A$**（或由債務與權益加權計算而得的 WACC）。
2. **股權觀點（Equity / Shareholder Perspective）**：
* **期初投入（$CF_0$）**：僅計股東出資額 **$-60$ 億**。
* **未來各期現金流量**：已扣除債務利息與還本支出的股權現金流量。
* **對應的折現率**：才是**權益資金的要求報酬率 $R_E$**。
### 為什麼這個敘述是錯的？
題目設定 **$CF_0 = -100$ 億**，這代表我們已經站在**資產觀點**來評估這個計畫。
既然是資產觀點，我們評估的是這 100 億資產整體創造價值的能力，因此未來現金流量的折現率，必須使用**資產整體的預期報酬率 $R_A$**（或是綜合了舉債成本與股權成本的加權平均資金成本 WACC）。
如果將折現率錯用為股權要求報酬率 $R_E$：
* 因為股權通常承擔比債權更高的風險，股東要求的報酬率 $R_E$ 通常會**大於**資產整體報酬率 $R_A$（$R_E &gt; R_A$）。
* 用過高的 $R_E$ 去折現總資產創造的現金流，會導致**折現出來的現值偏低，進而嚴重低估該計畫的真實淨現值 (NPV)**，可能導致公司經理人錯失原本有利可圖的投資機會。
### 結論
當 $CF_0 = -100$ 億時，未來各期現金流量的折現率應為 **$R_A$**（或 WACC），而非 **$R_E$**。兩者搭配錯誤，故本題敘述為**錯 (X)**。
![計畫評估兩大觀點與參數的對稱表](https://lh3.googleusercontent.com/d/19AHIpZjrFSAiQULWROjEVonMtqigR84W)</t>
  </si>
  <si>
    <t>O</t>
  </si>
  <si>
    <t>平均應付帳款天數為 20 天，平均存貨天數 50 天，平均應收帳款天數為 30 天，則營業循環長度為 &lt;span style="color: red; text-decoration: underline;"&gt;80&lt;/span&gt; 天。</t>
  </si>
  <si>
    <t>這個陳述是**對的**（也就是說，這題判斷題應填 **`O`**）。
### 財務學理解析與計算
在營運資金管理中，我們必須嚴格區分**「營業循環」**與**「現金循環」**這兩個極易混淆的概念：
1. **營業循環 (Operating Cycle) 的定義**：
營業循環是指企業從「購入存貨」到「銷售商品並收回現金」所經歷的完整時間長度。其計算公式如下：
$$\text{營業循環長度} = \text{平均存貨天數} + \text{平均應收帳款天數}$$
* 帶入本題數據：
$$\text{營業循環長度} = 50 \text{ 天 (存貨天數)} + 30 \text{ 天 (應收帳款天數)} = 80 \text{ 天}$$
因此，題目的陳述完全正確。
---
### 💡 考前避坑提醒：注意「現金循環」陷阱
考試時，題目經常會給予相同的數據，但將問法改為**「現金循環（Cash Cycle / Cash Conversion Cycle）」**，此時應付帳款天數才會派上用場：
* **現金循環 (Cash Cycle) 的定義**：
現金循環是指企業從「實際支付現金給供應商」到「實際從顧客手中收回現金」的時間差。其計算公式為：
$$\text{現金循環長度} = \text{營業循環長度} - \text{平均應付帳款天數}$$
$$\text{現金循環長度} = \text{平均存貨天數} + \text{平均應收帳款天數} - \text{平均應付帳款天數}$$
* 如果這題問的是**現金循環**，答案則應為：
$$50\text{ 天} + 30\text{ 天} - 20\text{ 天 (應付帳款天數)} = 60\text{ 天}$$
簡單來說，**營業循環**只看貨物與帳款的物理流動（50 + 30 = 80天），而**現金循環**則扣除了我們向供應商賒帳、延遲付款的信用天數（80 - 20 = 60天），這也是財務經理最關心的「血液循環」速度。</t>
  </si>
  <si>
    <t>11_短期融資政策_營業循環與現金循環</t>
  </si>
  <si>
    <t>營業循環與現金循環管理</t>
  </si>
  <si>
    <t>債券之殖利率反映了該債券的風險程度，殖利率 &lt;span style="color: red; text-decoration: underline;"&gt;愈小&lt;/span&gt; 的風險程度愈低。</t>
  </si>
  <si>
    <t>這個敘述是**對的**（判斷題應填 **`O`**）。
### 財務學理與課堂授課內容解析：
1. **風險與報酬的一體兩面 (Risk and Return)**：
在財務學中，風險與報酬永遠是共生的。**未來的不確定性就是風險**，而**報酬（殖利率）則是用來補償投資人所承擔的風險（即風險溢酬、風險貼水）**。如果一項有價證券的風險極低，投資人就不會（也無法）要求高昂的風險補償，因此其對應的殖利率自然會比較低。
2. **高品質債與高收益債的對比**：
授課老師在課堂中明確指出，債券依據風險與報酬的對稱性，主要可分為兩大類：
* **高品質債券（如政府公債）**：其特色為**低風險、低報酬（低殖利率）**，適合風險耐受度低、追求資金安全與穩定的投資人。
* **高收益債券 (High-yield Bonds，即垃圾債)**：因為發行主體的違約不確定性高，屬於**高風險**資產，因此在市場上必須承諾給予**高報酬（高殖利率）**，作為補償投資人的誘因，否則沒有人願意把錢借給他們。
3. **信用評等與債務資金成本（殖利率）的關係**：
課堂上也提到了信用評等（如 S&amp;P 或 Moody's）與違約率 (Default Risk) 的實務數據：
* 評等在 **BBB 以上的投資等級債券**，其違約機率極低（例如 A 等級在 10 年內發生違約的機率僅約 1% 左右），因此其**債務資金成本（到期殖利率 / YTM）會顯著較小**。
* 一旦跌入 **BB 以下的投機等級（垃圾債）**，10 年違約率會大幅暴增至 16% 以上，此時該債券所面臨的**資金成本（殖利率）就會急遽拉高**。
### 結論：
因此，**債券之殖利率確實直接反映了該債券的信用與違約風險程度。殖利率愈小，代表市場對其本息回收的信心愈高，其風險程度確實愈低**。</t>
  </si>
  <si>
    <t>3_基本財務報表與分析_利率與債券之評價</t>
  </si>
  <si>
    <t>債券評價、殖利率與利率風險</t>
  </si>
  <si>
    <t>X, 0</t>
  </si>
  <si>
    <t>無風險資產的貝他係數為 &lt;span style="color: red; text-decoration: underline;"&gt;1&lt;/span&gt;</t>
  </si>
  <si>
    <t>這個敘述是**錯的**（應填 **`X`**）。
### 財務學理解析與計算證明：
1. **無風險資產（Risk-free Asset）的貝他係數（Beta）恆等於 $0$**
* **學理解析**：貝他係數（$\beta$）是用來衡量「單一資產相對於整體市場大盤的系統性風險敏感度」。
* **統計公式**：
$$\beta_i = \frac{Cov(R_i, R_m)}{Var(R_m)}$$
由於**無風險資產**的報酬率（$R_f$，如政府國庫券或定存）是確定的，在統計上其變異數為 $0$，且與代表市場大盤報酬率（$R_m$）之間的**共變數（Covariance）恆等於 $0$**。因此，分子的 $Cov(R_f, R_m) = 0$，算出來無風險資產的 **$\beta_f = 0$**。
2. **貝他係數（Beta）等於 $1$ 的是「市場投資組合（Market Portfolio）」**
* **學理解析**：整體市場組合自己對自己的敏感度必然是 $1$。
* **統計公式**：若將資產 $i$ 替換為市場大盤組合本身（$m$），分子共變數將變為市場自身的變異數：
$$\beta_m = \frac{Cov(R_m, R_m)}{Var(R_m)} = \frac{Var(R_m)}{Var(R_m)} = 1$$
因此，**市場投資組合的 $\beta_m$ 恆等於 $1$**。
---
### 💡 課堂 CAPM 公式對應驗證：
我們也可以透過課堂上推導的**資本資產定價模型（CAPM）**均衡公式來驗證：
$$E(R_i) = R_f + \beta_i \times [E(R_m) - R_f]$$
* **當評估「無風險資產」時**：其預期報酬率 $E(R_i)$ 理應等於無風險利率 $R_f$。
$$R_f = R_f + \beta_{\text{無風險}} \times [E(R_m) - R_f]$$
若要讓此等式在任何市場風險溢酬（$E(R_m) - R_f \neq 0$）下皆成立，唯一的數學解就是 **$\beta_{\text{無風險}} = 0$**。
* **當評估「市場投資組合」時**：其預期報酬率 $E(R_i)$ 即為市場報酬率 $E(R_m)$。
$$E(R_m) = R_f + \beta_{\text{市場}} \times [E(R_m) - R_f]$$
若要讓此等式成立，唯一的數學解就是 **$\beta_{\text{市場}} = 1$**。
### 結論：
無風險資產的貝他係數（Beta）是 **$0$**，而市場大盤的貝他係數（Beta）才是 **$1$**。</t>
  </si>
  <si>
    <t>7_資本支出預算決策_貝他值的決定因素</t>
  </si>
  <si>
    <t>系統性風險(Beta)之決定因素與衡量</t>
  </si>
  <si>
    <t>X, 大於</t>
  </si>
  <si>
    <t>資本預算計畫的預期報酬率應至少 &lt;span style="color: red; text-decoration: underline;"&gt;等於&lt;/span&gt; 風險程度相同的金融資產之預期報酬率。</t>
  </si>
  <si>
    <t xml:space="preserve">這個陳述是**錯的**（判斷題應填 **`X`**）。
### 1. 課堂逐字稿與講義規範
* **課堂原音記錄**：根據教授在課堂上的授課原話：「我們知道說其實這個資本預算計畫的預期報酬率怎麼樣？應該要**至少大過**風險程度相同的金融資產的預期報酬。」
* **整理講義規範**：講義中亦明確指出：「任何資本預算計畫的期望報酬率，必須**至少大於**相同風險程度下金融資產在資本市場上的預期報酬率。」
---
### 2. 核心財務邏輯（為什麼「等於」是錯的）
* **無法創造超額價值（$NPV = 0$）**：如果計畫的預期報酬率僅「等於」相同風險程度金融資產的預期報酬率，則該計畫折現後的淨現值（$NPV$）將會剛好等於 $0$。
$$NPV = 0$$
誠如教授在課堂上所言：「等於零代表忙半天怎麼樣？南柯一夢，一場空了，什麼都沒有。」 此時公司忙進忙出，卻完全沒有替股東創造出任何超出市場基準的額外價值。
* **股東的機會成本與要求**：股東自己隨時可以把錢拿到金融市場上，去購買相同風險等級的金融商品或股票來獲取該預期報酬率。如果公司留存盈餘去投資內部計畫，其計畫回報率卻沒有「大於」股東自己去投資能拿到的報酬率，股東就會要求公司把錢以現金股利的形式發還，由股東自行去市場上投資。
* **結論**：為了達到「價值創造」的財務管理終極目標，計畫的預期報酬率必須**大於**（至少大過）相同風險金融資產的報酬率，而不能僅是「等於」。
</t>
  </si>
  <si>
    <t>1_公司理財導論_公司的目標與財務管理主要任務</t>
  </si>
  <si>
    <t>公司理財目標與價值創造</t>
  </si>
  <si>
    <t>X, 加權平均</t>
  </si>
  <si>
    <t>資本結構理論中，一間公司利用負債及權益融資，其公司整體的資金成本（Rwacc）， 為負債資金成本(RD)和權益資金成本(RE)的 &lt;span style="color: red; text-decoration: underline;"&gt;算術平均&lt;/span&gt;。</t>
  </si>
  <si>
    <t>這個陳述是**錯的**（判斷題應填 **`X`**）。
### 1. 核心財務邏輯：加權平均 vs. 算術平均
* **WACC 的本質是「加權平均」**：加權平均資金成本 (Weighted Average Cost of Capital, $R_{WACC}$) 是指將公司各種資金來源（負債與權益）之成本，依其在整體資本結構中所佔的**價值比例（權重）**進行加權計算，而非簡單的算術平均。
* **無稅 (Unlevered) 狀況下的 $R_{WACC}$ 經典公式**：
$$R_{WACC} = R_D \times \frac{D}{V} + R_E \times \frac{E}{V}$$
* $R_D$：負債資金成本
* $R_E$：權益資金成本
* $D$：負債價值
* $E$：權益價值
* $V$：公司總價值 ($V = D + E$)
---
### 2. 為什麼「算術平均」是錯的？
* **算術平均公式**：
$$\frac{R_D + R_E}{2}$$
* **兩者的差異**：
* **算術平均**強制假設了負債與權益的權重固定各為 50%（即 $D = E$）。
* 實際上，每間公司的資本結構（負債比例 $\frac{D}{V}$ 與權益比例 $\frac{E}{V}$）均不相同，且隨時可能動態調整。例如：當一間公司舉債 10%、權益資金佔 90% 時，其整體的資金成本會高度偏向 $R_E$，此時使用算術平均將會嚴重低估或高估公司實際面臨的資金成本。
* 只有在極端特殊的資本結構（即 $D = E$，負債與股權剛好各佔一半）時，加權平均值才會剛好等於算術平均值。因此，通則上將其稱為「算術平均」在學理上是錯誤的。</t>
  </si>
  <si>
    <t>7_資本支出預算決策_權益資金成本</t>
  </si>
  <si>
    <t>加權平均資金成本(WACC)與專案折現率</t>
  </si>
  <si>
    <t>X, 可能為半強式、弱式或非效率市場</t>
  </si>
  <si>
    <t>如果可以由內線消息獲取超額報酬，則此市場 。&lt;span style="color: red; text-decoration: underline;"&gt;必然為半強式效率市場&lt;/span&gt;。</t>
  </si>
  <si>
    <t>這個陳述是**錯的**（判斷題應填 **`X`**）。
### 1. 效率市場假說（EMH）的三大分類與資訊集合
根據尤金·法馬（Eugene Fama）提出的效率市場假說，市場依據其股價能反映的**資訊集合（Information Set）**範圍，分為以下三種層級：
* **弱勢效率市場（Weak-Form Efficiency）**：股價已完全反映所有**歷史價量資料**。在此市場中，投資人無法透過技術分析獲取超額報酬。
* **半強勢效率市場（Semi-Strong-Form Efficiency）**：股價已完全反映所有**公開資訊**（包含歷史價量、公司財報、新聞宣告等）。在此市場中，投資人無法透過技術分析與基本分析獲取超額報酬。
* **強勢效率市場（Strong-Form Efficiency）**：股價已完全反映所有**公開及未公開（內線消息）的資訊**。在此市場中，任何人（包含內部人）都無法獲取超額報酬。
這三者所反映的資訊集合，在學理上具有巢狀的包含關係：
$$I_{\text{弱勢}} \subset I_{\text{半強勢}} \subset I_{\text{強勢}}$$
---
### 2. 為什麼「必然為半強勢」的推論是錯誤的？
當一個市場中**可以利用內線消息獲取超額報酬**時，在邏輯上我們只能確定一個結論：**此市場「不是」強勢效率市場**。
至於該市場到底落在哪個效率層級，其實存在以下多種可能性：
1. **它可能是「半強勢效率市場」**：在半強勢市場中，股價只反映到公開資訊，因此擁有未公開內線消息（Private Information）的人，確實可以賺取超額報酬。
2. **它也可能是「弱勢效率市場」**：在弱勢市場中，股價僅反映歷史價量。此時，投資人不僅可以用內線消息獲取超額報酬，甚至只用公開的財務報表（基本分析）也能賺取超額報酬。
3. **它甚至可能是「無效率市場（Inefficient Market）」**：在此狀態下，市場連過去的歷史價量資訊都沒能即時反映，因此不論是技術分析、基本分析還是內線消息，通通都可以獲取超額報酬。
### 結論
能透過內線消息獲取超額報酬，僅能推論出市場**未達到強勢效率**。它可能是半強勢、弱勢或完全無效率。該陳述將多種可能性窄化為「必然為半強勢」，在財務邏輯上是錯誤的。</t>
  </si>
  <si>
    <t>7_資本支出預算決策_不同類型的效率</t>
  </si>
  <si>
    <t>效率市場假說(EMH)與資訊層級檢驗</t>
  </si>
  <si>
    <t>X, 股票購回</t>
  </si>
  <si>
    <t>公司使用現金購回自己的股票，來支付過多的現金給股東，此稱為 &lt;span style="color: red; text-decoration: underline;"&gt;股票股利&lt;/span&gt;。</t>
  </si>
  <si>
    <t>這個敘述是**錯的**（應填 **`X`**）。
### 1. 正確的財務學名詞：股票買回 (Share Repurchase)
當公司手中有多餘的現金，且沒有合適的投資機會時，利用**現金向市場或股東購回自家的股票**，藉此將現金返還給股東，這個行為在財務學與實務上稱為**「股票買回（Share Repurchase，或稱股份購回、買回庫藏股）」**，而非股票股利。
藉由股票買回，流通在外的股數會減少，在公司總體盈餘不變的情況下，每股盈餘 $EPS$ 將會隨之提高。
---
### 2. 股票買回 vs. 股票股利 之本質差異
為了避免在網頁刷題系統中混淆，以下為您整理這兩種股利發放方式的本質對比：
* **股票買回 (Share Repurchase)**：
* **資金流向**：公司**實際支付現金**給出售股票的股東。
* **股數變化**：流通在外的總股數會**減少**。
* **股東權益**：屬於公司向股東返還現金、調整資本結構的實質管道之一。
* **股票股利 (Stock Dividend)**：
* **資金流向**：公司**不發放任何現金**，而是按比例無償配發「新股」給現有的股東（俗稱配股、盈餘轉增資）。
* **股數變化**：流通在外的總股數會**增加**。
* **股東權益**：這僅是股東權益內部會計科目的科目調整（由保留盈餘轉入股本），公司整體的資產與現金並未流出，股東持股的整體市值比例也未發生實質改變。</t>
  </si>
  <si>
    <t>10_股利政策_股票購回</t>
  </si>
  <si>
    <t>股票股利與股票分割</t>
  </si>
  <si>
    <t>X, 融資決策</t>
  </si>
  <si>
    <t>企業利用複雜的證券包裝或者發行證券時選擇成本低或有利租稅補貼，都是 &lt;span style="color: red; text-decoration: underline;"&gt;投資決策&lt;/span&gt; 可能創造價值的方式。</t>
  </si>
  <si>
    <t>這個敘述是**錯的**（判斷題應填 **`X`**）。
### 1. 核心財務邏輯：投資決策 vs. 融資決策
在公司理財中，我們必須嚴格區分**「投資決策（Investment Decisions）」**與**「融資決策（Financing Decisions）」**。這兩者在資產負債表上對應不同的半邊，其創造價值的機制與定義完全不同：
* **投資決策 (Investment Decisions)**：
* **定義**：涉及資產負債表的**左半邊（資產面）**，即公司如何將資金配置於實質資產、研發計畫或擴廠等（即資本預算決策）。
* **創造價值的方式**：透過尋找淨現值大於零（$NPV &gt; 0$）的計畫，使計畫的預期報酬率大於相同風險之金融資產的要求報酬率，從實業營運中創造出真實的超額價值。
* **融資決策 (Financing Decisions)**：
* **定義**：涉及資產負債表的**右半邊（負債與股權面）**，即公司如何籌集資金、決定資本結構與股利政策。
* **創造價值的方式**：在存在市場摩擦（如稅收、交易成本、資訊不對稱）的現實世界中，透過減少發行成本、爭取**有利租稅補貼（如利息稅盾）**、或利用**複雜的證券包裝**（以迎合特定投資人的避稅或風險偏好）等手段，來降低公司的整體資金成本 $R_{WACC}$，進而提升公司價值。
---
### 2. 為什麼這個敘述是錯的？
題目中提到的三種具體手段：
1. **複雜的證券包裝**
2. **發行證券時選擇成本低**
3. **有利租稅補貼**
這些手段全部都屬於**「融資決策（籌資決策）」**可能創造價值的方式，**而不是「投資決策」**。
在完美的資本市場中（如 MM 無稅第一命題），融資決策是無法創造價值的（圓餅如何分割並不影響圓餅的總大小）。但在現實世界中，企業確實可以透過上述的**融資操作**來規避摩擦成本或創造稅收利益。例如，利用債務融資帶來的利息稅盾（Tax Shield）效益，可使有負債的公司價值 $V_L$ 提升：
$$V_L = V_U + T_C \times D$$
其中：
* $V_L$ 為有負債公司價值。
* $V_U$ 為無負債公司價值。
* $T_C$ 為公司所得稅率。
* $D$ 為債務面額。
雖然這些融資管道能為企業創造價值，但在財務學學理上，它們在定義上屬於**融資決策**的範疇。兩者觀念不容混淆，故本題敘述為**錯 (X)**。</t>
  </si>
  <si>
    <t>7_資本支出預算決策_融資決策可否創造價值</t>
  </si>
  <si>
    <t>X, 高，股票的發行成本高</t>
  </si>
  <si>
    <t>按融資順位理論(Pecking Order)，公司發行新普通股向外募集資金(外部權益資金)的資金成本，較舉債融資的資金成本 &lt;span style="color: red; text-decoration: underline;"&gt;低&lt;/span&gt;</t>
  </si>
  <si>
    <t>這個陳述是**錯的**（判斷題應填 **`X`**）。
首先向您說明：在您目前上傳的課程資料與逐字稿中，**並未直接提及「融資順位理論 (Pecking Order Theory)」** 這個學術專有名詞。
不過，根據您的講義資料（特別是關於內部與外部權益成本的論述）以及標準財務管理學理，我們可以非常明確地判定這個命題是**錯誤的**，原因如下：
### 1. 股權要求報酬率本質上大於債權
根據風險與報酬對稱的基本財務原理，股東身為公司的剩餘請求權人，承擔了比債權人（享有固定利息與優先清償權）更高的營運與破產風險。因此，不論在何種資本結構或融資理論下，權益資金成本 $R_E$ 必定大於債務資金成本 $R_D$：
$$R_E &gt; R_D$$
### 2. 外部權益包含高昂的發行成本 (Flotation Costs)
在您的講義資料中明確指出：
* **外部權益**（發行新普通股）向公開市場募資時，必須支付給承銷券商、會計師與律師等輔導費用，這筆費用在財務上稱為**發行成本 (Flotation Costs)**。
* 計算外部權益成本時，必須將發行成本納入分母扣除，因此**外部權益的資金成本必定高於內部權益（保留盈餘）**。
### 3. 融資順位理論 (Pecking Order) 的排序邏輯
雖然課程資料未特別標註此理論名稱，但依據標準「融資順位理論」的假說，企業在考慮資訊不對稱（Information Asymmetry）成本與發行摩擦力後，其融資的優先順序與資金成本排序為：
1. **內部權益（保留盈餘 Retained Earnings）**：資金成本最低（無資訊不對稱與發行成本）。
2. **舉債融資（Debt Financing）**：資金成本居中（債權人風險低、享有稅盾，且資訊不對稱程度較股權低）。
3. **外部權益（發行新股 New Common Stock）**：資金成本**最高**（面臨嚴重的 Lemons Problem 逆向選擇，且發行成本高昂）。
### 結論
按融資順位理論，公司發行新普通股（外部權益資金）的資金成本，在所有主要融資管道中是**最高**的，遠**高於**舉債融資。因此，題目中「外部權益資金成本較舉債融資低」的說法在學理上完全相反。</t>
  </si>
  <si>
    <t>9_資本結構決策_融資順位理論</t>
  </si>
  <si>
    <t>融資順位理論(Pecking Order Theory)</t>
  </si>
  <si>
    <t>其他條件相同下，零息債券因為沒有利息收入需要再投資的問題，故 &lt;span style="color: red; text-decoration: underline;"&gt;再投資風險&lt;/span&gt; 較付息債券小</t>
  </si>
  <si>
    <t>這個陳述是**對的**（判斷題應填 **`O`**）。
### 1. 核心財務學理：再投資風險（Reinvestment Risk）的定義
* **再投資風險**是指投資人收到債券定期配發的**利息（Coupons）**後，在將這些資金重新投入市場時，市場利率可能已經下跌。這導致這筆利息收入只能以較低的報酬率進行再投資，進而拉低了投資人整體的實際持有期間報酬率 (Realized Return)。
---
### 2. 零息債券 vs. 付息債券的再投資風險對比
* **零息債券（Zero-coupon Bonds）**：
* **無再投資風險**：零息債券在持有期間**完全不支付任何利息**，而是在期初以折價 (Discount) 發售，並在到期時一次性按面額 (Face Value) 償還。
* 因為在到期日之前，投資人**不會收到任何中間利息流**，所以完全沒有「如何將利息再投資」的問題。其再投資風險在學理上恆等於 $0$。
* **一般付息債券（Coupon Bonds）**：
* **存在再投資風險**：付息債券在持有期間會定期支付固定的利息。如果市場利率在債券發行後開始走低，投資人收到利息後，就只能將其再投資於收益率較差的金融資產上，因此**面臨顯著的再投資風險**。
---
### 3. 💡 考前重點避坑：再投資風險 vs. 利率風險（價格風險）
雖然零息債券**沒有**再投資風險，但在其他條件相同下（如到期日相同），零息債券的**利率風險（價格風險 / Price Risk）卻是所有債券中最大的**：
1. 因為零息債券的存續期間 (Duration) 剛好**等於其到期年限**，而一般付息債券的存續期間必定**小於其到期年限**。
2. 當市場利率（折現率 $y$）變動時，零息債券的價格波動敏感度極高。其債券定價公式如下：
$$P = \frac{F}{(1 + y)^T}$$
*(其中 $P$ 為債券價格，$F$ 為到期面額，$y$ 為到期殖利率，$T$ 為到期年限)*。
3. 這代表雖然零息債券鎖定了再投資收益，但投資人必須承擔更高的市場價格波動風險。
### 結論
若僅針對「再投資風險」而言，零息債券因為沒有任何利息現金流，其再投資風險確實**小於**一般付息債券（其再投資風險為零）。本題敘述完全正確。</t>
  </si>
  <si>
    <t>X, Project B,按題旨，此時 NPVB&gt;NPVA</t>
  </si>
  <si>
    <t>右下圖顯示 Project A 與 Project B 在淨現值與內部報酬率的關係。在互斥案條件下，當 R &lt;10.55%時，應選擇 &lt;span style="color: red; text-decoration: underline;"&gt;Project A&lt;/span&gt; 。
![2023090216](https://lh3.googleusercontent.com/d/1kW2Y3r5glq1pVfdqwKqFZEc6rPdvYhed)</t>
  </si>
  <si>
    <t>這個陳述是**錯的**（應填 **`X`**）。
### 1. 根據 Project A 與 Project B 淨現值 (NPV) 關係圖表與課堂逐字稿分析
從顯示 **Project A** 與 **Project B** 淨現值（NPV）關係的曲線圖中，我們可以清楚看到以下關鍵數據點：
* **Project B 的 NPV 曲線（綠色線）**：在折現率為 $0\%$ 時，其 $NPV$ 高達 $\$4,000$。但因為其大筆現金流多集中在後期（放長線），所以其曲線斜率較陡，對折現率變動較為敏感。其 $IRR_B = 12.94\%$。
* **Project A 的 NPV 曲線（藍色線）**：在折現率為 $0\%$ 時，其 $NPV$ 為 $\$2,000$。因為其回收較早，對折現率變動較不敏感。其 $IRR_A = 16.04\%$。
* **交叉折現率（Crossover Rate）**：兩條曲線在折現率 **$10.55\%$** 處相交。在此折現率下，兩計畫的淨現值完全相等。
---
### 2. 互斥案（Mutually Exclusive Projects）的決策法則
在互斥案的條件下，我們只能「二選一」，此時最安全的唯一決策標準是 **「選擇淨現值（NPV）最大者」**。
依據交叉折現率 $10.55\%$，市場折現率 $R$ 的大小會將決策劃分為兩個區間：
1. **當折現率 $R &lt; 10.55\%$ 時（即交叉折現率的左半邊）**：
* 綠色曲線（Project B）位於藍色曲線（Project A）的**上方**。
* 這代表此區間內：
$$NPV_B &gt; NPV_A$$
* 因此，**應選擇 Project B**，而非 Project A。
2. **當折現率 $10.55\% &lt; R &lt; 16.04\%$ 時（即交叉折現率的右半邊）**：
* 藍色曲線（Project A）位於綠色曲線（Project B）的**上方**。
* 這代表此區間內：
$$NPV_A &gt; NPV_B$$
* 此時，**才應該選擇 Project A**。
---
### 3. 課堂授課核心觀念佐證
授課教授在講授「交叉率（Crossover Rate）與淨現值曲線分析」時也特別說明：
&gt; 「在 crossover rate（$10.55\%$）的這折現率左邊，你應該要選計畫 B，因為淨現值比較大；右邊呢，則選計畫 A，因為計畫 A 的淨現值比較大。因為最終我們還是認為要選一個淨現值最大的。」
### 結論：
當折現率 $R &lt; 10.55\%$ 時，Project B 能為公司股東創造更巨大的絕對價值（更高之 $NPV$），因此在互斥案下**應選擇 Project B**。原題敘述「應選擇 Project A」與財務學理及圖表事實完全相反，故此題為**錯 (X)**。</t>
  </si>
  <si>
    <t>內部報酬率(IRR)與互斥專案決策</t>
  </si>
  <si>
    <t>風險主要源自於對未來現金流量的不確定性所造成的影響。若未來現金流量不確定性(風險)愈高，則其折現率愈 &lt;span style="color: red; text-decoration: underline;"&gt;高 &lt;/span&gt; 。</t>
  </si>
  <si>
    <t>這個陳述是**對的**（判斷題應填 **`O`**）。
### 1. 課堂逐字稿與核心財務學理
* **風險與折現率的直接連結**：在財務估值與資本預算中，**折現率 (Discount Rate)** 本質上就是投資人因承擔風險而要求的**必要報酬率 (Required Rate of Return)** 或公司的**資金成本 (Cost of Capital)**。
* 誠如授課教授在課堂中所指出，折現率的高低與**風險**具有直接且對稱的一對一關係。例如：將資金存在銀行幾乎沒有風險，因此其折現率（無風險利率 $R_f$）極低（約 1% 到 2%）；但若投資於不確定性極高的股權計畫 (Equity Project)，其要求報酬率則會大幅拉高至 10% 甚至更高。
---
### 2. 不確定性（風險）對折現率的傳導機制
* **不確定性即是風險**：未來現金流量的不確定性，即是財務學上對「風險」的經典定義。當未來的現金流入 $CF_t$ 越不確定，投資人面臨損失或無法達成預期回報的風險就越大。
* **風險溢酬 (Risk Premium) 的補償**：為了補償所承擔的高風險，投資人勢必會要求更高的風險溢酬。這使得該投資計畫的要求報酬率（即折現率 $R$）必須隨之調高。
* **從現值 (PV) 公式來定量理解**：
對於未來某一期高度不確定的現金流量 $CF_t$，其現在價值 $PV$ 的計算公式如下：
$$PV = \frac{CF_t}{(1 + R)^t}$$
在公式中，當現金流量的不確定性愈高，我們必須在分母使用愈**高**的折現率 $R$ 進行折現。這會使計算出來的現在價值 $PV$ 降低，這正是財務學用來反映並調整「高風險資產價值」的標準做法。
### 結論：
因此，未來現金流量的不確定性（風險）愈高，其對應的折現率確實愈**高**。本題敘述完全正確。</t>
  </si>
  <si>
    <t>風險與要求報酬率對稱性</t>
  </si>
  <si>
    <t>X, 增加。P=D/R-g, R 變小則分母變小，P 變大</t>
  </si>
  <si>
    <t>應用固定成長股利折現模型時，降低股票之要求報酬率，將會造成股票價格&lt;span style="color: red; text-decoration: underline;"&gt; 減少 &lt;/span&gt;</t>
  </si>
  <si>
    <t>這個陳述是**錯的**（判斷題應填 **`X`**）。
### 1. 數學公式推導（高登成長模型 / Gordon Growth Model）
根據課堂中提到的股利折現估值邏輯，應用最經典的**固定成長股利折現模型**（又稱高登模型），股票之價格（現值）計算公式如下：
$$P_0 = \frac{D_1}{R_E - g}$$
在公式中：
* $P_0$ 代表**股票現在的價格（估值）**。
* $D_1$ 代表**預期未來下一期的股利**。
* $R_E$ 代表**股票之要求報酬率（折現率）**。
* $g$ 代表**股利固定成長率**（其中必須滿足 $R_E &gt; g$）。
從數學結構來看：
1. 當我們**降低**股票的要求報酬率 $R_E$ 時。
2. 分母的差距 $(R_E - g)$ 就會**縮小（變小）**。
3. 由於分母變小，整個分式計算出來的數值（即股票價格 $P_0$）就會**變大（增加）**。
---
### 2. 財務學理直覺解析（折現率與現值的反向關係）
* **折現率的反向關係**：股票的要求報酬率 $R_E$ 本質上就是對未來現金流（股利）進行折現時所使用的**折現率**。
* 在所有現金流量折現（DCF）模型中，**折現率與現值（價格）之間存在著反向波動的關係**。當折現率（要求報酬率）越高，未來的現金流折回來就越不值錢，股價便越低；反之，若折現率（要求報酬率）**降低**，代表投資人對該股票要求的風險補償下降，未來的股利折回現在就會變得「更值錢」，從而使股票價格**增加（上升）**。
### 結論
應用固定成長股利折現模型時，降低股票之要求報酬率，將會造成股票價格**增加（上升）**，而非減少。原命題敘述與財務與數學邏輯完全相反，故為**錯 (X)**。</t>
  </si>
  <si>
    <t>3_基本財務報表與分析_股票之評價</t>
  </si>
  <si>
    <t>股票評價與股利折現模型(DDM)</t>
  </si>
  <si>
    <t>公司最佳的資本結構在增加一單位債務時，稅盾的邊際利益等於財務危機邊際成本。因此，當稅盾的邊際利益小於財務危機邊際成本時，應該&lt;span style="color: red; text-decoration: underline;"&gt;少使用負債融資&lt;/span&gt;。</t>
  </si>
  <si>
    <t>這個陳述是**對的**（應填 **`O`**）。
### 1. 靜態權衡理論邊際分析
最佳資本結構點位於：$\text{邊際稅盾利益 (MB)} = \text{邊際財務危機成本 (MC)}$。
* **當 $MB &lt; MC$ 時**：代表多增加一單位負債帶來的破產風險與成本已超越節稅好處（過度槓桿），此時企業應該**少使用負債融資**（降低負債比）以拉回平衡點。本題敘述完全正確。</t>
  </si>
  <si>
    <t>9_資本結構決策_稅負影響和財務危機成本的整合</t>
  </si>
  <si>
    <t>資本結構靜態權衡理論(Trade-off Theory)</t>
  </si>
  <si>
    <t>X, A 計畫的預期報酬率高於市場報酬率，為一增加價值的
低風險計畫；另公司資金成本與計畫預期報酬率無關</t>
  </si>
  <si>
    <t>右圖為公司資金成本與證券市場線的關係示 意。A 計畫的預期報酬率。&lt;span style="color: red; text-decoration: underline;"&gt; 低於公司資金成本， 為一減少價值的高風險計畫 &lt;/span&gt; 
![2023090220](https://lh3.googleusercontent.com/d/1iikei_7ohztyMCCZy_VMifWUbS0_oqa0)</t>
  </si>
  <si>
    <t>這個敘述是**錯的**（應填 **`X`**）。
### 1. 核心財務原理：單一資金成本（WACC）與證券市場線（SML）的衝突
在評估多個不同風險級別的投資計畫時，如果公司盲目使用單一的加權平均資金成本（WACC）作為所有計畫的折現率（在圖中呈現為一條**水平橫線**），將會導致嚴重的決策錯誤。
在證券市場線（SML，為一條**向右上傾斜的直線**）的架構下，橫軸為系統性風險 \\( \beta \\)，縱軸為預期報酬率 \\( E(R) \\)。此時市場上存在兩類容易被錯誤評估的計畫：
* **A 計畫（高風險計畫）**：
* **位置特徵**：其預期報酬率**高於**公司的 WACC（位於 WACC 水平線的**上方**），但卻落於 SML 直線的**下方**。
* **決策錯誤**：因為其預期報酬率高於 WACC，公司若矇著眼睛用單一 WACC 來評估，會誤以為它有利可圖而予以**接受**。
* **實際結果**：因為它承擔了極高的風險，合理的 CAPM 要求報酬率（SML 線上對應點）其實更高。其預期報酬未能有效補償其面臨的系統性風險（落於 SML 下方），這是一個實質上 \\( NPV &lt; 0 \\)、會**損害（減少）公司價值**的計畫。
* **B 計畫（低風險計畫）**：
* **位置特徵**：其預期報酬率**低於**公司的 WACC（位於 WACC 水平線的**下方**），但卻落於 SML 直線的**上方**。
* **決策錯誤**：因為其預期報酬率低於 WACC，公司若以 WACC 作為門檻率，會將其誤判為賠錢貨而予以**拒絕**。
* **實際結果**：因為其風險極低，其預期報酬早已超越了 CAPM 要求的合理報酬率（落於 SML 上方），這是一個實質上 \\( NPV &gt; 0 \\)、能夠**增加公司價值**的優質計畫。
---
### 2. 為什麼這個敘述是錯的？
題目中提到：**「A 計畫的預期報酬率低於公司資金成本，為一減少價值的高風險計畫」**。這句話在財務邏輯上存在前後矛盾：
1. 如果該計畫確實是 **「減少價值的高風險計畫（A 計畫 / 綠色點）」**，其預期報酬率必定是 **高於**（而非低於）公司的 WACC。這正是單一 WACC 決策陷阱最危險之處——公司會因為其預期報酬率高於資金成本，而誤將這項高風險、低回報的計畫買單。
2. 如果一個計畫的預期報酬率 **「低於公司資金成本（B 計畫 / 紅色點）」**，它其實是一隻能幫公司 **「增加價值」** 的優質低風險計畫，而非減少價值的高風險計畫。
### 結論
原命題將高風險與低風險計畫在 WACC 水平線上下方的特徵混淆了，其敘述是**錯誤（X）**的。
### 📊 投資計畫評估：四大決策區間對照表
| 決策區間 | 圖形位置特徵 | 系統性風險 ($\beta$) | 實質價值 ($NPV$) | WACC 法決策 | SML (CAPM) 法決策 | 盲用 WACC 的決策結果 |
| :--- | :--- | :--- | :--- | :--- | :--- | :--- |
| **① 正確接受** &lt;br&gt;(Correctly Accept) | **SML 上方** 且 &lt;br&gt;**WACC 上方** | 中～高風險 | 🟢 **$NPV &gt; 0$** &lt;br&gt;(創造價值) | 🟢 接受 | 🟢 接受 | **正確決策** |
| **② 錯誤接受** &lt;br&gt;(Wrongly Accept) | **SML 下方** 且 &lt;br&gt;**WACC 上方** | 🔴 **高風險** | 🔴 **$NPV &lt; 0$** &lt;br&gt;(摧毀價值) | 🟢 接受 | 🔴 拒絕 | ❌ **錯誤接受** &lt;br&gt;(高風險垃圾計畫) |
| **③ 正確拒絕** &lt;br&gt;(Correctly Reject) | **SML 下方** 且 &lt;br&gt;**WACC 下方** | 中～低風險 | 🔴 **$NPV &lt; 0$** &lt;br&gt;(損耗價值) | 🔴 拒絕 | 🔴 拒絕 | **正確決策** |
| **④ 錯誤拒絕** &lt;br&gt;(Wrongly Reject) | **SML 上方** 且 &lt;br&gt;**WACC 下方** | 🟢 **低風險** | 🟢 **$NPV &gt; 0$** &lt;br&gt;(創造價值) | 🔴 拒絕 | 🟢 接受 | ❌ **錯誤拒絕** &lt;br&gt;(低風險優質遺珠) |
---
### 🔍 四大決策區間深度學理剖析
#### 區間 ①：正確接受區間 (Correctly Accept)
* **學理特徵**：此類計畫的預期報酬率不僅高於公司的加權平均資金成本 ($WACC$)，更超越了其高風險所對應的市場最低要求報酬率（SML 線上方）。
* **結果**：該計畫的 $NPV$ 實質為正。不論公司是使用單一 $WACC$ 折現，還是使用精準的 CAPM 專案折現率，最終都會做出**「接受」**的正確決定。
---
#### 區間 ②：錯誤接受區間 (Wrongly Accept) —— 高風險陷阱
* **學理特徵**：該計畫屬於高系統性風險（$\beta$ 偏右），由於風險高，市場要求的合理報酬率（SML 線對應點）非常高。然而，其預期報酬率雖然高於公司的 $WACC$（位於資金成本水平線上條），卻**低於 SML 斜線**。
* **決策落差**：
* **盲用 WACC 的評估**：看到預期報酬高於公司資金成本 ($WACC$)，而做出**接受**決策。
* **實質後果**：該計畫並未提供足夠的風險補償 ($NPV &lt; 0$)。公司等於是**承擔了極高的風險，卻僅獲得低於市場應有水準的報酬**，實質上是在摧毀公司價值。
---
#### 區間 ③：正確拒絕區間 (Correctly Reject)
* **學理特徵**：計畫的預期報酬率過低，同時低於公司的 $WACC$ 以及 SML 要求門檻。
* **結果**：計畫 $NPV$ 顯著為負。不論用 $WACC$ 還是 CAPM 評估，公司都會做出**「拒絕」**的正確決定，避免了資金被套牢在賠錢項目中。
---
#### 區間 ④：錯誤拒絕區間 (Wrongly Reject) —— 保守遺珠
* **學理特徵**：該計畫屬於低系統性風險（$\beta$ 偏左）。因為風險低，市場要求的合理要求報酬率（SML 線對應點）非常低。其預期報酬率雖然**低於公司的 $WACC$（位於資金成本水平線下方）**，但其實**高於 SML 斜線**。
* **決策落差**：
* **盲用 WACC 的評估**：看到回報率低於公司平均資金成本，而做出**拒絕**決策。
* **實質後果**：該計畫的實際 $NPV &gt; 0$。這是一項「風險極低且高性價比」的優質專案，卻因為一律採用單一 $WACC$ 衡量，被**錯誤地拒絕**，使公司錯失了安全創造股東價值的機會。
---
### 💡 實務延伸應用：多角化企業的評價陷阱
在企業財務管理實務中，**「不可一概使用單一公司的 WACC 套用在所有專案計畫上」**：
* **多角化經營的盲點**：以跨國製造或多角化企業為例，公司內部若同時存在「傳統成熟業務部門」與「新興高科技業務部門」，這兩個部門所面臨的產業風險與 $\beta$ 值大相逕庭。
* **一視同仁的代價**：若高層在評估時，一律採用集團統一的 $WACC$ 作為折現率，將會導致：
1. **高風險部門**提報的激進計畫被大量**錯誤接受**，因為高風險通常伴隨較高的名目預期報酬。
2. **低風險部門**提報的穩健計畫被大量**錯誤拒絕**，因為低風險專案的預期報酬率通常相對較低。
這最終會導致公司整體的資產組合失衡，系統性風險不斷飆升。</t>
  </si>
  <si>
    <t>X, 殖利率</t>
  </si>
  <si>
    <t>債券價格與 &lt;span style="color: red; text-decoration: underline;"&gt; 無風險利率(federal bank 國家銀行利率) &lt;/span&gt; 呈反向變動關係</t>
  </si>
  <si>
    <t>這個陳述是**錯的**（判斷題應填 **`X`**）。
### ❌ 為什麼「與無風險利率反向變動」的敘述是錯的？
在嚴格的財務學與實務中，**無風險利率 ($R_f$) 只是債券殖利率的一部分，兩者不能直接畫上等號。**
根據債券定價公式，債券殖利率 (YTM) 的組成結構為：
$$\text{到期殖利率 (YTM)} = \text{無風險利率 } (R_f) + \text{風險貼水 (Risk Premium)}$$
這會導致在特定動態情境下，原敘述的「反向關係」宣告失效：
* **「完美抵消」的特例**：當央行升息，導致無風險利率 ($R_f$) 上升 1%，但同時因為該公司發布了極大的營運利多，導致市場對其評估的「信用違約風險貼水」剛好下降 1%。
* **實際結果**：兩者完美抵消後，公司的**殖利率 (YTM) 維持不變**。分母的折現率既然沒變，**債券價格也完全不會波動**。這直接打破了「債券價格必然與無風險利率呈反向變動」的絕對關係。
---
### 💡 完美的標準修正答案：改用「到期殖利率 (YTM)」
若要讓這個命題在數學和邏輯上達到 **「100% 成立、毫無漏洞」** 的定理級別，應將其修正為：
&gt; **「債券價格與其『到期殖利率 (YTM)』呈反向變動關係。」**
#### 為什麼這個修正答案最完美？
1. **純粹的數學必然性（分母效應）**：
在債券評價模型中，未來的票息 (Coupon) 與面額 (Face Value) 是在契約中寫死的常數：
$$\text{債券價格 } (V) = \sum_{t=1}^{n} \frac{\text{票息}}{(1+\mathbf{YTM})^t} + \frac{\text{面額}}{(1+\mathbf{YTM})^n}$$
此時，決定債券價格 ($V$) 的**唯一總折現率就是 YTM**。當 YTM 上升，分母變大，現值（價格）必定下跌；當 YTM 下降，價格必定上揚。這在數學上是**絕對的函數反向關係**，沒有任何例外。
2. **不需依賴「其他條件不變」的保護傘**：
原題目如果要成立，必須在文字中加上 *「在其他條件（風險貼水）不變的前提下」* 的假設限制。但如果直接使用**「殖利率 (YTM)」**，不論公司信用評等如何改變、不論市場流動性如何波動，這個反向關係都 100% 成立。
---
### 💡 財務學理解析與折現邏輯
在債券定價模型中，將未來的現金流量進行折現時：
* 債券的未來現金流（各期利息與到期面額）為固定承諾。
* 折現率 $R$（即總要求的到期殖利率 YTM）是決定債券現值的核心。當要求報酬率 $R$ 上升時，折現回來的現值（債券價格）就會變小。
因此，用「到期殖利率 (YTM)」來定義與債券價格的反向關係，是最嚴密精準的標準答案。</t>
  </si>
  <si>
    <t>X, 相同風險會有相同報酬</t>
  </si>
  <si>
    <t>依資本資產訂價理論，市場均衡時，不同風險態度的投資人看同一資產的預期報酬
將會 &lt;span style="color: red; text-decoration: underline;"&gt; 不同 &lt;/span&gt;</t>
  </si>
  <si>
    <t>這個陳述是**錯的**（判斷題應填 **`X`**）。
### 1. 核心財務原理：CAPM 均衡公式的客觀性
根據資本資產定價理論 (CAPM)，在市場達到均衡狀態時，任何特定資產 $i$ 的期望（預期）報酬率 $E(R_i)$，僅由其**系統性風險**（$\beta_i$）決定：
$$E(R_i) = R_f + \beta_i \times [E(R_m) - R_f]$$
在公式中，決定該資產預期報酬率的參數只有三個：
* **$R_f$（無風險利率）**：市場上客觀存在的無風險收益基準。
* **$\beta_i$（資產的系統性風險）**：衡量該資產相對於整體大盤波動敏感度的客觀統計值。
* **$E(R_m) - R_f$（市場風險溢酬）**：市場整體對每單位系統性風險所要求的客觀補償。
由於這三個參數在市場均衡時都是**唯一且客觀確定**的，因此，不論投資人個人的主觀風險態度（保守或冒險）如何，在均衡時看**同一個資產**，所估算出來的合理預期報酬率 $E(R_i)$ 必定是**完全相同**的，這個點必定唯一地落在**證券市場線 (SML)** 上。
---
### 2. 不同風險態度的投資人，到底「什麼」會不同？
不同風險態度的投資人，其差異並非表現在對「同一資產的預期報酬」看法不同，而是表現在他們的**「整體投資組合配置 (Portfolio Allocation)」**不同：
* **保守型投資人**（風險規避程度高）：會配置較大比例的資金在無風險資產（如國庫券）上，只放極少比例在風險資產上。其**「整體投資組合」**的預期報酬率與風險都會偏低。
* **冒險型投資人**（風險規避程度低）：會配置極高比例、甚至透過融資（財務槓桿）借錢來買入風險資產。其**「整體投資組合」**的預期報酬率與風險都會偏高。
然而，當這兩位投資人共同評估市場上的**同一個特定風險資產**（例如同一檔股票 $i$）時，在市場均衡下，該資產的風險性早已完全被市場價格所反映，因此兩人看該特定資產的預期報酬率 $E(R_i)$ 必定**完全相同**。
### 結論
依據 CAPM 均衡原理，不同風險態度的投資人看同一特定資產的預期報酬將會**相同**。原題敘述「將會不同」在學理上是錯誤的。</t>
  </si>
  <si>
    <t>資本資產定價模型(CAPM)與證券市場線(SML)</t>
  </si>
  <si>
    <t>負債的信號放射理論認為，預期高獲利的公司將 &lt;span style="color: red; text-decoration: underline;"&gt; 提高 &lt;/span&gt; 負債比例</t>
  </si>
  <si>
    <t>這個陳述是**對的**（判斷題應填 **`O`**）。
### 1. 訊號理論（Signaling Theory）與資訊不對稱之學理背景
在不完美的現實資本市場中，公司經理人（內部人）與外部投資人之間存在著資訊不對稱。經理人比外部大眾更清楚公司未來的實際獲利能力與現金流量狀態。
誠如課堂中所探討的「訊號理論」核心邏輯（例如在股利政策中，股利政策的發布與制定，本質上是在向市場釋放公司未來成長性與內部現金流量狀況的訊號）：**企業可以透過其「財務決策（如融資決策或股利決策）」作為溝通工具，向市場傳遞內部人方能掌握的真實前景資訊**。在財務學中，這套資本結構與融資決策的關聯理論，通常會與加權平均資金成本及融資順位理論一同深入探討。
---
### 2. 負債訊號傳遞模型 (Stephen Ross, 1977) 的核心邏輯
當我們將訊號理論應用於資本結構（融資決策）時，其經典的 **Ross 債務訊號模型**之推論過程如下：
1. **為什麼「提高負債比例」是一個可信的訊號？**
* 在財務學中，一個有效的財務訊號必須具備**「模仿成本」**。也就是說，低質量的企業若想模仿此訊號，必須付出極其高昂且難以承受的代價（即昂貴訊號 / Costly Signaling）。
* 債務契約具有法律上的強制還本付息義務。如果一間公司無法按期支付利息與本金，將會面臨**支付不能** (Insolvency) 與破產危機。
2. **經理人的道德風險與個人破產成本限制**：
* 若公司發生破產，經理人將面臨失業、個人名譽受損以及經理人市場 (Labor Market) 的嚴厲淘汰。因此，**經理人極度規避公司破產**。
3. **分離均衡 (Separating Equilibrium) 的形成**：
* **預期高獲利（優質）的公司**：經理人預期未來的營業利潤與現金流入非常充沛，有十足的把握能夠輕鬆支應債務本息，因此敢於主動**提高負債比例**。
* **預期低獲利（劣質）的公司**：其未來現金流不穩定，其經理人若盲目模仿提高負債比例，將會面臨極高機率的違約與破產。經理人為了保住自己的飯碗與聲譽，**絕對不敢盲目提高負債比例**。
---
### 3. 市場的反應與結論
由於低獲利公司無法承受高負債帶來的破產風險，**「高負債比例」便成為預期高獲利公司獨有的「誠實招牌」**。
當市場觀察到公司主動**提高負債比例**（例如進行槓桿資本重組、發行債券買回股票）時，投資人會理解這代表經理人對未來的盈餘有極強的信心，因而會將其解讀為**「重大利多訊號」**，進而推升公司的市場估值與股價。
因此，負債訊號理論認為：**預期高獲利的公司，將會透過提高負債比例來向市場發送優質訊號，使其與低獲利公司做出區隔**。本題敘述完全正確。</t>
  </si>
  <si>
    <t>9_資本結構決策_信號發射</t>
  </si>
  <si>
    <t>負債融資之信號發射模型(Signaling Theory)</t>
  </si>
  <si>
    <t>X, 更差。舉債會產生本息償還壓力</t>
  </si>
  <si>
    <t>基於自由現金流量假說，降低代理成本中，支付股利比舉債效果 &lt;span style="color: red; text-decoration: underline;"&gt; 更好 &lt;/span&gt;</t>
  </si>
  <si>
    <t>這個敘述是**錯的**（判斷題應填 **`X`**）。
### 1. 核心財務理論：自由現金流量假說之代理衝突
* **自由現金流量假說 (Free Cash Flow Hypothesis)** 由財務學大師麥可·詹森 (Michael Jensen, 1986) 提出。
* **高代理成本的成因**：當公司營運賺取並累積了充沛的**自由現金流量（Free Cash Flow, $FCF$）**，而內部又缺乏淨現值大於零的優質投資計畫時，專業經理人（代理人）往往傾向不將這些多餘的資金還給股東，而是留在手中進行好大喜功的過度擴張（如盲目併購）、購入奢侈性的辦公資產或浪費在無效率的開支上，進而造成嚴重的**代理成本 (Agency Cost)**。
---
### 2. 為什麼「舉債」降低代理成本的效果優於「支付股利」？
雖然將資金以**現金股利 (Cash Dividends)** 的形式返還給股東可以減少手頭的 $FCF$，但詹森在理論中明確指出，**舉債融資（債務約束）在控制經理人的私慾與降低代理成本上，其效果顯著優於支付股利**。其核心差異在於「承諾的法律效力與約束強度」：
1. **支付股利（軟性約束 / Soft Commitment）**：
* 股利的發放屬於董事會與經理人的**裁量權 (Discretionary)**。
* 如果經理人未來想要截留資金挪作他用，大可直接調降甚至取消股利的發放，這在法律上並不會導致公司違約、信用受損，更不會直接引發破產。因此，股利對經理人手頭現金的控制力屬於一種「軟性承諾」。
2. **舉債融資（硬性約束 / Hard Commitment / 債務控制假說 Debt-bonding Hypothesis）**：
* 債務的還本付息是具有法律強制力的**法定義務 (Contractual Obligation)**。
* 如果經理人無法按期償付利息與本金，公司將面臨**支付不能 (Insolvency) 與違約破產**的命題。
* **破產的懲罰威脅**：公司一旦破產，專業經理人將面臨失業、名譽掃地與在經理人市場被淘汰的慘重個人代價。為了保住飯碗，經理人被迫在每期「必須且優先」將充沛的現金流量吐出來以償還債務本息，幾乎沒有任何多餘的現金能夠挪作私利或進行盲目投資。
---
### 結論
根據自由現金流量假說（債務控制假說），**「舉債」因為具有法定的破產威脅，能對經理人形成硬性的債務承諾約束，在降低自由現金流量代理成本的效果上，顯著優於不具法律強制性的「支付股利」**。原題敘述將兩者的效果高低完全顛倒，在財務學理上是錯誤的。</t>
  </si>
  <si>
    <t>代理問題與自由現金流量假說</t>
  </si>
  <si>
    <t>X, 財務合併</t>
  </si>
  <si>
    <t>&lt;span style="color: red; text-decoration: underline;"&gt; 營運合併 &lt;/span&gt; 是一種預期不會產生營運規模經濟利益，但卻能降低營運風險的合併</t>
  </si>
  <si>
    <t>這個陳述是**錯的**（判斷題應填 **`X`**）。
### 財務學理與課堂授課內容解析
在企業併購與收購 (M&amp;A) 中，依據**併購動機**可將合併明確劃分為**「營運（策略）合併」**與**「財務合併」**兩大類，兩者的核心價值創造機制與風險分散邏輯截然不同：
1. **營運合併 (Operating Merger / 策略性合併) 的本質**：
* **核心動機**：旨在提升公司的**長期營運效益與創造營運綜效 (Synergy)**。主併公司通常是為了取得目標公司的技術、通路、研發能力或生產產能，來優化未來的營業利潤。
* **價值創造方式**：兩家公司合併後會深度整合，預期會產生**「規模經濟利益 (Economies of Scale)」**（例如整合產線以提升對供應商與客人的議價力量、降低單位生產成本）或「範疇經濟利益 (Economies of Scope)」。
* **量化表示**：兩家公司合併後的價值 $V_{AB}$ 必須大於個別公司單獨價值之和：
$$V_{AB} &gt; V_A + V_B$$
* **結論**：營運合併的核心目標就是**預期要產生營運規模經濟等營業綜效**，因此題目中說營運合併「預期不會產生營運規模經濟利益」是完全錯誤的。
2. **財務合併 (Financial Merger) 的本質**：
* **核心動機**：兩家公司在合併後通常仍維持相對獨立的運作，不進行深度的業務整合，因此**不預期會產生營運上的規模經濟或營業綜效**。
* **價值創造方式**：主要是透過**「風險分散 (Diversification)」**。當企業跨足不同且不相關的產業時，能降低本業面臨單一產業景氣波動時的整體現金流量變動，進而達到**「降低營運風險」**的目的。此外，還可能包含買便宜資產（低於重置成本）或取得租稅利益 (Tax Shield，利用虧損扣抵來避稅) 等財務操作。
* **結論**：題目所描述的「預期不會產生營運規模經濟利益，但卻能降低營運風險的合併」，在財務學上定義的其實是**「財務合併 (Financial Merger)」**。</t>
  </si>
  <si>
    <t>4_資本支出預算決策_法定的購併型態</t>
  </si>
  <si>
    <t>企業併購型態、動機與防禦策略</t>
  </si>
  <si>
    <t>市場均衡時，依據資本資產訂價模型(CAPM)，所有投資組合都必須位於 &lt;span style="color: red; text-decoration: underline;"&gt; 證券市場線(SML)上 &lt;/span&gt;。</t>
  </si>
  <si>
    <t>這個陳述是**對的**（判斷題應填 **`O`**）。
### 1. 證券市場線（SML）的均衡原理
根據資本資產定價模型 (CAPM)，在市場達到均衡狀態時，任何資產或投資組合的預期報酬率，僅與其面臨的**系統性風險（Beta 值，即 $\beta$）**呈線性正比關係。其定價公式如下：
$$E(R_i) = R_f + \beta_i \times [E(R_m) - R_f]$$
在統計學與財務學上，這條線描繪在座標圖上時：
* **橫軸**為系統性風險指標 $\beta$。
* **縱軸**為期望報酬率 $E(R)$。
在市場均衡時，所有個別證券以及**任何投資組合**（無論該組合是否已將風險完全分散），其期望報酬與 $\beta$ 的對應點都**必定剛好落在 SML 直線上**。
---
### 2. 💡 考前必看避坑考點：CML（資本市場線）vs. SML（證券市場線）
這是網頁刷題與期末考中極為常見的「文字陷阱題」，其核心區別如下：
* **證券市場線 (SML)**：
* **風險衡量指標**：系統性風險（$\beta$）。
* **適用對象**：**所有個別證券與所有投資組合**（不論有效率或非效率）。在均衡時，**全體都必須落在 SML 上**。若有偏離（例如落在線上方），市場套利機制會迅速使其價格上升、預期報酬回落，重新拉回線上。
* **資本市場線 (CML)**：
* **風險衡量指標**：總風險（標準差 $\sigma$）。
* **適用對象**：**只有「有效率的投資組合 (Efficient Portfolios)」會落在 CML 上**。個別有價證券（如單一股票）或未完全分散風險的非效率投資組合，其對應點必定會落在 CML 的**下方**。
### 結論
因為 SML 衡量的是「系統性風險」，在均衡市場下，任何投資組合（不論其分散程度高低）所獲得的風險補償都僅由其 $\beta$ 決定。因此，**所有投資組合在均衡時都必定落在 SML 上**。</t>
  </si>
  <si>
    <t>在效率市場中，投資人的投資組合的決定也 &lt;span style="color: red; text-decoration: underline;"&gt; 需考慮 &lt;/span&gt;投資人的風險偏好</t>
  </si>
  <si>
    <t>這個陳述是**對的**（判斷題應填 **`O`**）。
### 1. 課堂逐字稿學理分析：效率市場不等於隨機盲從
在財務學中，許多人對**效率市場假說 (EMH)** 存在一個非常經典的誤解：既然市場是有效率的、所有公開資訊都已及時反映在股價中，且投資人無法輕易獲得超額報酬，那麼投資人就可以隨便透過擲硬幣、擲筊、甚至丟飛鏢的方式來盲目決定投資組合。
教授在課堂中明確指出，**這種隨機選股的論點是完全錯誤的**，因為它忽略了最核心的變數——投資人個人的**風險偏好 (Risk Preference)**：
* **風險偏好具有強烈的個體差異**：每個人都有不同的風險承受度與風險偏好。個人的財富水準、年齡、職業穩定性等因素，都會造成其風險耐受度 (Risk Tolerance) 的不同。例如，面臨退休的保守型投資人，其風險承受度極低，不應將過多資金配置於高風險的波動資產中；而年輕的投資人則有更長的資本累積期去承擔景氣波動的風險。
* **投資組合必須與風險偏好契合 (Match)**：投資決定與配置的核心目標，是為了建立一個能與投資人自身風險偏好完美契合的資產組合。如果自暴自棄、隨機瞎選，極可能會選出一個與自己風險承受能力完全不匹配的投資組合（例如保守者卻持有高風險飆股），進而無法達到個人效用的極大化。
---
### 2. CAPM 兩階段分離定理 (Two-Stage Separation Theorem) 證明
我們也可以透過資本資產定價模型 (CAPM) 中的**分離定理**，從學術定量的角度來證明本題：
1. **第一階段：尋找最優風險資產組合（客觀決定）**
所有投資人在評估市場上的風險資產時，由於預期一致，都會找出相同的**切點投資組合 (Tangency Portfolio)**，在市場均衡時即為「市場投資組合 $M$」（其系統性風險 $\beta_m$ 恆等於 1）。這個階段是純客觀的，不涉及投資人的主觀風險態度。
2. **第二階段：資產配置（高度依賴主觀風險偏好）**
投資人必須根據自己內心的風險規避程度（風險偏好），決定將多少比例的資金（設為 $y$）投入市場組合 $M$，多少比例（$1 - y$）投入無風險資產 $R_f$。
其整體投資組合的預期報酬率與總風險公式分別為：
$$E(R_p) = (1 - y) \times R_f + y \times E(R_m)$$
$$\sigma_p = y \times \sigma_m$$
* **高風險規避者**（保守型）：會選擇極小甚至接近 0 的 $y$ 值，讓資產組合極度安全。
* **低風險規避者**（冒險型）：會選擇極大的 $y$ 值，甚至透過融資（$y &gt; 1$）借錢來加碼市場組合。
### 結論
即便市場達到高度效率，投資人在決定「最終整體投資組合 (Complete Portfolio)」時，依然**必須高度考慮個人的風險偏好與耐受度**，才能在效率前緣 (CML) 上找出最適合自己的最適投資組合。因此，本題陳述完全正確。</t>
  </si>
  <si>
    <t>7_資本支出預算決策_效率市場對公司理財的意義</t>
  </si>
  <si>
    <t>X, 企業或計劃價值</t>
  </si>
  <si>
    <t>以企業的自由現金流量(Free Cash Flow；FCF)所估計出的價值為公司的 &lt;span style="color: red; text-decoration: underline;"&gt; 權益價值 &lt;/span&gt;</t>
  </si>
  <si>
    <t>這個敘述是**錯的**（判斷題應填 **`X`**）。
### 1. 核心財務邏輯：企業價值 (Enterprise Value) vs. 權益價值 (Equity Value)
在財務估值與評價中，我們必須根據**現金流量的類型**與**折現率**的搭配，來區分估算出來的價值究竟是「整體企業（資產）價值」還是「股東權益價值」：
* **企業自由現金流量 (FCF / FCFF / OCF)**：
* **定義與性質**：這是指尚未扣除債權人利息與本金支付前的營運現金流量。它代表公司透過本業營運所創造、可分配給**所有資金提供者**（包含債權人與股東）的總現金流。
* **估計出的價值**：將此現金流量以加權平均資金成本（$R_{WACC}$ 或 $R_a$）折現後，估計出來的是**「企業價值」（Enterprise Value，或稱公司資產總價值 $V$）**，而非權益價值。
* **權益價值 (Equity Value / 股權價值 $E$)**：
* **定義與性質**：這是專屬於公司普通股股東的價值。在法律與清償順位上，股東屬於「剩餘請求權人」，必須在扣除債權人（第一順位）與政府稅收（第二順位）後的剩餘份額，才歸股東所有。
* **如何估算**：
1. **間接法**：先利用企業自由現金流量估算得出**企業價值（資產價值）**，再扣除**負債的市場價值 ($D$)**，即為權益價值：
$$E = V - D$$
2. **直接法**：必須使用**「股權自由現金流量 (FCFE / Equity CF)」**（即已經扣除利息、本金等債權人請求權後的現金流量），並以股權要求報酬率 ($R_E$) 進行折現，方能直接估算出權益價值。
---
### 2. 課堂授課要點對照與判讀報告指南
授課教授在講述「投資評估的兩種觀點」時特別提示如何判讀同仁或顧問公司送來的評估報告：
1. **檢查期初投入與現金流是否一致**：
* 若期初投入 ($CF_0$) 使用的是**總資產投資**（如 $-100$），則後續各期現金流 ($CF_t$) **不應扣除利息**，折現率必須使用資產要求報酬率 ($R_a$ 或 $R_{WACC}$)，算出來的是**資產（計畫）的淨現值**。
* 若期初投入 ($CF_0$) 使用的是**股東實際出資**（如 $-60$），則後續各期現金流 ($CF_t$) **必須扣除利息與本金**，折現率必須使用股權要求報酬率 ($R_E$)，算出來的才是**股權的淨現值**。
2. **結論**：
直接將「企業自由現金流量 (FCF)」折現只會得到**整個計畫或企業的資產價值 (Enterprise Value)**。若未扣除負債就將其當作「權益價值」，在財務學理與實務上是嚴重的概念錯誤。</t>
  </si>
  <si>
    <t>5_資本支出預算決策_營運現金流量</t>
  </si>
  <si>
    <t>營運現金流量(OCF)與自由現金流量(FCF)</t>
  </si>
  <si>
    <t>若調降公司營利事業所得稅，此舉將使公司傾向少舉債，公司最適資本結構將&lt;span style="color: red; text-decoration: underline;"&gt; 下降 &lt;/span&gt;</t>
  </si>
  <si>
    <t>這個陳述是**對的**（判斷題應填 **`O`**）。
### 1. 核心財務理論：靜態權衡理論 (Static Trade-off Theory)
根據考慮公司所得稅與財務危機成本的**靜態權衡理論**，有負債的公司價值（$V_L$）公式為：
$$V_L = V_U + T_C \times D - PV(\text{財務危機成本})$$
* **$T_C \times D$**：即為公司舉債所能獲得的**利息稅盾總現值**（其中 $T_C$ 為營利事業所得稅率，$D$ 為債務面額）。
* 公司**最適資本結構 (Optimal Capital Structure)** 的決定，在於達到**「邊際稅盾利益 ($MB$) 等於邊際財務危機成本 ($MC$)」**的平衡點。
---
### 2. 稅率調降對資本結構的傳導機制
當政府**調降公司營利事業所得稅率（$T_C$ 減少）**時，會透過以下邏輯鏈條改變公司的融資決策：
1. **邊際稅盾利益 (MB) 下降**：
* 由於利息支出是在課稅前扣除的，舉債所能帶來的節稅好處（利息稅盾）大小，直接取決於所得稅率 $T_C$ 的高低。
* 當稅率 $T_C$ 降低，每多舉一單位債務所能幫公司省下的稅金便隨之**減少**。這使得舉債的邊際利益（$MB$）曲線**向下移動**。
2. **邊際財務危機成本 (MC) 不變**：
* 舉債所需面臨的潛在破產與違約風險成本，並不會因為所得稅率降低而減少。
3. **最適舉債比例（最適資本結構）下降**：
* 在邊際利益（$MB$）減少、而邊際成本（$MC$）不變的狀態下，兩條曲線相交的均衡點將會**向左移動**。
* 這代表公司最佳的負債比率（$D^*/V$）將會下降，公司會傾向**減少舉債**，轉而使用相對較多的股權融資。
### 結論
因此，調降營所稅會直接削弱利息抵稅的誘因，使企業在權衡下減少債務的使用，進而導致最適資本結構（負債比例）下降。本題敘述完全符合財務學理。</t>
  </si>
  <si>
    <t>X, 融資順位理論</t>
  </si>
  <si>
    <t>按 &lt;span style="color: red; text-decoration: underline;"&gt; 抵換理論(Trade-off Theory) &lt;/span&gt;，公司發行新的普通股向外募集資金(外部權益資金) 的資金成本，較舉債融資的資金成本高。</t>
  </si>
  <si>
    <t>這個陳述是**錯的**（判斷題應填 **`X`**）。
### 1. 為什麼本題的因果關係是錯的？
* **結論符合財務事實**：在真實世界中，**「外部權益資金成本 ＞ 債務融資成本」** 確實是成立的。
* **但理論主體張冠李戴**：將此資金成本的高低順序與融資選擇歸因於**「抵換理論 (Trade-off Theory)」** 是錯誤的。
* **抵換理論 (Trade-off Theory)**：關注的是公司如何透過平衡 (Trade-off) **「債務的利息稅盾收益 (Tax Shield)」** 與過度舉債帶來的 **「財務危機成本（破產 / 違約成本）及代理成本」**，來尋找一個最完美的 **「最適資本結構」**。它並不是用來解釋「內部資金、債務與外部權益」三者發行成本與資訊不對稱拉扯的理論。
---
### 2. 完美的解藥：以「融資順位理論 (Pecking Order Theory)」解釋
若將理論替換為**「融資順位理論」**，則本題的邏輯與學理便能完全契合：
* **資訊不對稱與訊號效果 (Signaling)**：
融資順位理論建立在**資訊不對稱**之上。由於經理人（內部人）比外部投資人更了解公司，當公司宣布要「發行新普通股（向外部募資）」時，市場會解讀為經理人認為自家股價被高估的 **負面訊號 (Negative Signaling)**，進而引發股價重挫。
* **昂貴的實質與隱性成本**：
發行新股不僅會面臨市場的負面定價（逆向選擇），還需要支付高昂的 **發行成本 (Flotation Costs)**。因此，**外部權益（發行新股）的資金成本在所有融資管道中是最高的**。
* **企業融資的黃金順位**：
因為成本與阻礙不同，企業在募資時會遵循以下嚴格順序：
$$\mathbf{\text{內部保留盈餘 (最便宜 / 第一順位)} \rightarrow \text{舉債融資 (第二順位)} \rightarrow \text{發行新股 (最貴 / 最後選擇)}}$$
---
### 💡 核心理論比較對照表
| 核心資本結構理論 | 關注的焦點與核心機制 | 融資決策的結論 |
| :--- | :--- | :--- |
| **抵換理論** &lt;br&gt;*(Trade-off Theory)* | 平衡 **「債務利息稅盾 ($T_c \times D$)」** 與 **「財務危機 / 代理成本」** | 存在一個能使公司價值最大化的 **最適負債比率**。 |
| **融資順位理論** &lt;br&gt;*(Pecking Order)* | 解決 **「資訊不對稱」**、**「發行成本」** 與 **「訊號效果」** 的問題 | 融資無最優比例，而是遵循：**內部保留盈餘 ＞ 債務 ＞ 新股發行** 的黃金順位。 |
### 結論
原題將「外部權益資金成本高於債務融資成本」的推導邏輯歸因於抵換理論屬概念混淆，故本題陳述為錯誤。</t>
  </si>
  <si>
    <t>X, 股票&gt;債券&gt;內部權益資金(保留盈餘)</t>
  </si>
  <si>
    <t>資金成本的大小比較，為 &lt;span style="color: red; text-decoration: underline;"&gt; 債券 &gt; 股票 &gt; 內部權益資金（保留盈餘）(Trade-off Theory) &lt;/span&gt;。</t>
  </si>
  <si>
    <t>這個陳述是**完全錯誤的**（判斷題應填 **`X`**）。
在公司理財與資本結構決策中，三種資金來源之資金成本 (Cost of Capital) 的大小比較，正確的順序必定為：
**股票（外部發行新股） &gt; 內部權益資金（保留盈餘） &gt; 債券（債務資金成本）**。
以下為您詳細解析各項資金成本的本質與高低決定因素：
### 1. 債券（債務資金成本，$R_D$）—— 資金成本最低
在三者之中，債券的籌資成本是**最低的**，原因有二：
* **求償順位優先，風險最低**：在請求權的順序中，債權人享有優先受償權，而股東只能分配公司扣除債務與稅收後「剩下的」剩餘權益。因為債權人承擔的違約風險遠低於股東，所以其要求報酬率（資金成本）也最低。
* **利息稅盾的節稅效益**：政府規定債務利息可以列為費用自損益表中扣除，以減少課稅所得。因此，公司在評估債務資金成本時，必須採用**稅後債務成本**：
$$R_{D, \text{after-tax}} = R_D \times (1 - T_C)$$
*(其中 $T_C$ 為公司所得稅率)*。這使債務實際成本被進一步折減拉低。
### 2. 內部權益資金（保留盈餘）—— 成本居中
* **不需發行成本**：保留盈餘是公司過去營運賺得並留在內部的資金。當公司要投資新計畫時，優先動用自己的內部資金，**完全不需支付給券商或承銷商任何發行與輔導費用**。
* **仍有機會成本**：雖然不需外付發行費用，但這筆盈餘仍屬於股東。股東同意將錢留在公司去投資，代表該計畫創造的投報率必須**至少能滿足股東在同等風險金融市場上的期望報酬率（$R_E$）**。因此，內部權益成本等同於股東的要求報酬率，顯著高於具備優先求償權與稅盾優勢的債券成本。
### 3. 股票（外部發行新股，$R_e$）—— 資金成本最高
發行新股向外募集資金的成本，在三者中是**最高的**，原因如下：
* **風險溢酬最高**：普通股股東清償順位最後，承擔了公司最核心的營運與財務槓桿風險，因此投資人會要求極高的風險溢酬。
* **高昂的發行成本 (Flotation Costs)**：發行新普通股或有價證券向外募集資金時，必須聘請承銷券商，進行繁複的上市櫃規劃與輔導，並支付大筆律師、會計師等發行費用。在計算實際資金成本時，必須將這筆高昂的發行費用納入考量（降低分母的實收淨資金），使得**外部權益（股票）成本必定顯著高於內部權益（保留盈餘）**。
### 結論
綜合上述，籌資管道成本的正確比較為：**股票（最高） &gt; 保留盈餘（居中） &gt; 債券（最低）**。原命題將最低的債券視為最高、最高的股票視為居中，在財務學理上是完全相反的錯誤。</t>
  </si>
  <si>
    <t>X, 取捨理論有理想的負債水準</t>
  </si>
  <si>
    <t>融資順位理論及取捨(MM)理論 &lt;span style="color: red; text-decoration: underline;"&gt; 皆無 &lt;/span&gt; 「理想的負債水準」</t>
  </si>
  <si>
    <t>這個敘述是**錯的**（應填 **`X`**）。
### 1. 取捨理論 (Trade-off Theory) / 有稅下的 MM 理論：**「有」**理想的負債水準
在靜態權衡理論（或稱抵換、取捨理論）中，企業決定資本結構的核心在於**尋找最適的平衡點**。此時公司價值公式為：
$$V_L = V_U + PV(\text{利息稅盾}) - PV(\text{財務危機與代理成本})$$
* **舉債的邊際效益 (MB)**：來自於債務利息可以節稅的**「利息稅盾」**。
* **舉債的邊際成本 (MC)**：隨著負債比率拉高，公司面臨違約與破產的**「預期財務危機成本與代理成本」**。
* **理想的負債水準**：當**「邊際稅盾利益 = 財務危機邊際成本」**時，公司的加權平均資金成本 $R_{WACC}$ 降至最低，而公司總體價值達到極大值。這個使公司價值極大化的負債比率（$D^*/V$）就是公司**最佳（理想）的負債水準**。
---
### 2. 融資順位理論 (Pecking Order Theory)：**「無」**理想的負債水準
融資順位理論（又稱啄食順序理論）是基於**資訊不對稱**與**逆向選擇成本**而發展的。它認為：
* 經理人對公司實際價值的掌握優於外部投資人。為了避免釋放出「股價被高估而賤賣」的負面訊號 (Lemons Problem)，以及避開高昂的外部發行成本，企業籌資時存在著嚴格的優先順序：
1. **內部權益（保留盈餘）**
2. **舉債融資（發行債券或銀行借款）**
3. **外部權益（發行新普通股）**
* 在此理論架構下，**公司並沒有一個固定的、目標的「理想負債水準」**。公司的負債比例完全是依據「當期營運累積的保留盈餘」與「新投資計畫所需資金」之間的差額被動決定的——若內部資金充沛，負債比例就會自然下降；若內部資金不足且有大筆資本預算，則被迫舉債。
---
### 結論
這兩大資本結構理論的主要分歧之一，就在於對目標槓桿比率的看法：
* **取捨理論**主張：**有**一個明確、可極大化企業價值的**「理想負債水準」**。
* **融資順位理論**主張：**沒有**任何特定或目標的**「理想負債水準」**。
因此，原題敘述指稱「兩者皆無理想的負債水準」在財務學理上是**錯誤的**。</t>
  </si>
  <si>
    <t>莫迪尼亞尼-米勒(MM)資本結構理論</t>
  </si>
  <si>
    <t>X, 減少</t>
  </si>
  <si>
    <t>依 MM 理論命題 II，在有稅的情形下，公司的加權平均資金成本(RWACC)隨著槓桿 程度增加而 &lt;span style="color: red; text-decoration: underline;"&gt;增加&lt;/span&gt;。</t>
  </si>
  <si>
    <r>
      <rPr>
        <rFont val="Microsoft JhengHei"/>
        <color theme="1"/>
        <sz val="12.0"/>
      </rPr>
      <t xml:space="preserve">這個陳述是**錯的**（判斷題應填 **`X`**）。
這題考的是**有稅情形下的 MM 第二命題 (MM Proposition II with Taxes)** 中，資本結構（槓桿程度）與加權平均資金成本 ($R_{WACC}$) 之間的變動關係。
以下為您進行詳細的學理解析與觀念拆解：
---
### 1. 核心判定：$R_{WACC}$ 隨槓桿增加而「下降」
根據 MM 有稅理論，當我們把**公司所得稅 (Corporate Tax)** 納入考量時，**公司的加權平均資金成本 ($R_{WACC}$) 會隨著槓桿程度（舉債比例）的增加而「下降（減少）」，而非增加**。
其背後的驅動邏輯為：
* **利息稅盾 (Interest Tax Shield) 效果**：公司舉債所支付的利息可以列為費用以扣抵應稅所得，使公司減少支付 $T_c \times R_D \times D$ 的所得稅款。
* **拉低實質負債成本**：因為有利息稅盾，公司實質承擔的稅後負債資金成本變為更便宜的 **$R_D \times (1 - T_c)$**。
* **拉低整體 $R_{WACC}$**：隨著舉債比例（槓桿）提高，這部分成本較低的稅後債務資金在 $WACC$ 的加權比重隨之增加。在數學上，$WACC$ 會隨著負債比率的提升而**逐步下降**，進而推動公司價值逐步上揚（即 $V_L = V_U + T_c D$）。
---
### 2. 容易混淆的盲點：WACC 還是股權成本 ($R_E$)？
此題常見的混淆點，在於將 **加權平均資金成本 ($R_{WACC}$)** 與 **股權資金成本 ($R_E$)** 混為一談：
* **股權資金成本 ($R_E$) 確實會增加**：根據 MM 第二命題，不論有無稅，隨著舉債程度 ($D/E$) 提高，股東承擔的財務風險增加，因此**股權要求報酬率 ($R_E$) 確實會呈正斜率往上增加**。
* **WACC ($R_{WACC}$) 依然會下降**：雖然股權成本 ($R_E$) 被拉高，但在有稅環境下，**股權成本上升的幅度，並不足以完全抵消「利息稅盾」所帶來的省稅效益**。因此，兩者加權平均後的整體 $WACC$ 依然是呈現**單向下降趨勢**。
---
### </t>
    </r>
    <r>
      <rPr>
        <rFont val="Segoe UI Symbol"/>
        <color theme="1"/>
        <sz val="12.0"/>
      </rPr>
      <t>💡</t>
    </r>
    <r>
      <rPr>
        <rFont val="微軟正黑體"/>
        <color theme="1"/>
        <sz val="12.0"/>
      </rPr>
      <t xml:space="preserve"> 核心理論速記對照表（MM 理論比較）
| MM 資本結構理論 | 槓桿程度增加時，股權要求報酬率 ($R_E$) | 槓桿程度增加時，加權平均資金成本 ($WACC$) |
| :--- | :--- | :--- |
| **無稅 MM 理論** | </t>
    </r>
    <r>
      <rPr>
        <rFont val="Segoe UI Symbol"/>
        <color theme="1"/>
        <sz val="12.0"/>
      </rPr>
      <t>📈</t>
    </r>
    <r>
      <rPr>
        <rFont val="微軟正黑體"/>
        <color theme="1"/>
        <sz val="12.0"/>
      </rPr>
      <t xml:space="preserve"> **線性增加**（彌補財務風險） | </t>
    </r>
    <r>
      <rPr>
        <rFont val="Segoe UI Symbol"/>
        <color theme="1"/>
        <sz val="12.0"/>
      </rPr>
      <t>➖</t>
    </r>
    <r>
      <rPr>
        <rFont val="微軟正黑體"/>
        <color theme="1"/>
        <sz val="12.0"/>
      </rPr>
      <t xml:space="preserve"> **維持不變**（資本結構無關） |
| **有稅 MM 理論** | </t>
    </r>
    <r>
      <rPr>
        <rFont val="Segoe UI Symbol"/>
        <color theme="1"/>
        <sz val="12.0"/>
      </rPr>
      <t>📈</t>
    </r>
    <r>
      <rPr>
        <rFont val="微軟正黑體"/>
        <color theme="1"/>
        <sz val="12.0"/>
      </rPr>
      <t xml:space="preserve"> **增加（斜率變緩）** | </t>
    </r>
    <r>
      <rPr>
        <rFont val="Segoe UI Symbol"/>
        <color theme="1"/>
        <sz val="12.0"/>
      </rPr>
      <t>📉</t>
    </r>
    <r>
      <rPr>
        <rFont val="微軟正黑體"/>
        <color theme="1"/>
        <sz val="12.0"/>
      </rPr>
      <t xml:space="preserve"> **逐步下降**（因具備利息稅盾） |
### 結論
在考慮所得稅的 MM 第二命題中，加權平均資金成本 ($WACC$) 隨槓桿程度的提升應呈現**下降趨勢**。原陳述若主張 WACC 隨槓桿上升，則為錯誤。</t>
    </r>
  </si>
  <si>
    <t>7_資本支出預算決策_加權平均資金成本</t>
  </si>
  <si>
    <t>X, 投資活動</t>
  </si>
  <si>
    <t>淨營運資金的變動是屬於 &lt;span style="color: red; text-decoration: underline;"&gt; 營業活動 &lt;/span&gt;的現金流量</t>
  </si>
  <si>
    <t>這個陳述是**錯的**（判斷題應填 **`X`**）。
這是一個在財務管理與期末考試中極其經典且**每年必考的觀念陷阱題**。
### 1. 課堂授課核心：看到「營運」二字不等於營業活動
教授在課堂上多次強調並提醒大家這個常見的錯誤：
&gt; 「看到『營運』二字就以為是營運（營業）現金流量，不是！淨營運資金的需求屬於計劃中的投資活動，通常每年都會考。」
### 2. 為什麼淨營運資金的變動屬於「投資活動」？
從財務與資本預算 (Capital Budgeting) 的決策架構來看，淨營運資金 (Net Working Capital, NWC) 的本質是**資產**（流動資產扣除流動負債）：
* **資產的增加即為投資**：不論是購置機器設備（固定資產），還是在生產線上準備原物料、半成品（存貨），或因為賒銷而產生的應收帳款，這些都代表將資金投在資產上進行積壓。
* **資產存量的變動屬於投資活動**：在財務概念中，資產負債表右邊（負債與權益）的變動屬於**融資活動**，而左邊資產存量（包括長期的固定資產與短期的淨營運資金）的變動，皆屬於**投資活動**（亦即資金佔用 Use of Funds）。
* **與營業活動的區別**：營業活動（營運活動）對應的是**損益表**上的活動與變動（例如營業利益 EBITDA 等營業利潤所產生的現金流）。而淨營運資金的增減是為了支持營運而進行的「資金佔用」與「期末收回」，其現金流量應列為**投資活動**。
### 結論
在評估投資計畫的增量現金流量時，淨營運資金的變動（$\Delta NWC$）在第 0 期通常是資金流出（投資），在計畫結束時則會變現收回，這些皆屬於**「投資活動」**的現金流量。因此，題目中「屬於營業活動」的說法是錯誤的。</t>
  </si>
  <si>
    <t>11_短期融資政策_現金與淨營運資金</t>
  </si>
  <si>
    <t>淨營運資金(NWC)與現金管理</t>
  </si>
  <si>
    <t>X, 投資決策</t>
  </si>
  <si>
    <t>股利政策無關論認為公司價值視 &lt;span style="color: red; text-decoration: underline;"&gt; 營運資金決策 &lt;/span&gt; 決定，而非決定於股利政策。</t>
  </si>
  <si>
    <t>這個陳述是**錯的**（判斷題應填 **`X`**）。
### 1. 核心財務學理：莫迪格利安尼-米勒 (MM) 股利無關論
根據著名的 **MM 股利無關論 (Dividend Irrelevance Theory)**，在完美的資本市場 (Perfect Capital Market) 假定下，公司的股利分配政策（即發放現金股利或是保留盈餘不發）對於**公司的價值 (Firm Value) 與股權資金成本完全沒有影響**。
那麼，公司的價值究竟是由什麼決定的呢？
* MM 理論明確指出：**公司的價值完全取決於其資產的「獲利能力 (Basic Earning Power)」與「投資決策 (Investment Policy)」**，而非如何將賺來的盈餘在股利與保留盈餘之間進行分配。
* 只要投資決策（資本預算計畫）已經確定，無論公司是將盈餘留在手中，還是把盈餘當作股利發還給股東（再透過發行新股或舉債來取得投資資金），都只是股東「左口袋換右口袋」的財富轉移，其公司總價值皆維持不變。
---
### 2. 為什麼「營運資金決策 (Working Capital Decision)」是錯誤的？
題目中將決定公司價值的關鍵歸因於「營運資金決策」，這在財務觀念上是嚴重的錯誤：
1. **營運資金決策 (Working Capital Decision)**：
* 屬於**短期的流動性管理**，關注的是公司日常運營中的流動資產（如現金、存貨、應收帳款）與流動負債（如應付帳款）之週轉與管理，其核心目的是確保公司不會面臨短期的資金斷鏈。
2. **投資決策 (Investment Decision / Capital Budgeting)**：
* 屬於**長期的價值創造決策**，例如蓋新廠房、購置核心機器設備、研發新技術、開展新事業（其預期報酬率必須超過資本市場上的必要報酬率/門檻率）。**這才是決定企業未來長期獲利能力 (Earning Power) 與內在價值的核心根本**。
### 結論
依據股利政策無關論（MM 股利理論），公司價值是由其長期的**「投資決策（獲利計畫）」**所決定，而非決定於股利政策，更非由短期的「營運資金決策」決定。</t>
  </si>
  <si>
    <t>10_股利政策_現金股利發放</t>
  </si>
  <si>
    <t>股利政策理論(MM無關論/顧客效果/一鳥在手)</t>
  </si>
  <si>
    <t>X, 小於，貝他為公司報酬率對市場敏感度斜率，斜率
越大，敏感度(即貝他越高)</t>
  </si>
  <si>
    <t>右圖為月報酬率對市場月報酬率的敏感性，呈現出 A 公司的貝他值 &lt;span style="color: red; text-decoration: underline;"&gt; 大於 &lt;/span&gt; B 公司。
![2023090220](https://lh3.googleusercontent.com/d/1eWyIX92Fd1Ylj7re4ncrbI1z1SSIZeCP)</t>
  </si>
  <si>
    <t>這個陳述是**錯的**（應填 **`X`**）。
### 1. 財務學理：證券特徵線與貝他值（Beta）的定義
在「月報酬率對市場月報酬率的敏感性」座標圖中，個別資產報酬率對市場大盤報酬率進行迴歸分析所得到的直線，稱為**證券特徵線 (Security Characteristic Line, SCL)**。
* 這條特徵線的**斜率 (Slope)** 在財務學上代表的就是該資產的**貝他值（Beta 值，$\beta$）**，用以衡量該資產對市場系統性風險的敏感度。
* **斜率越陡峭 (Steeper)**：代表 Beta 值越大，該資產的報酬率隨大盤波動的起伏越劇烈（高風險、高敏感度）。
* **斜率越平緩 (Flatter)**：代表 Beta 值越小，該資產的報酬率受大盤波動的影響較為溫和（低敏感度）。
---
### 2. 證券特徵線圖表實質分析
從特徵線圖表中，我們可以非常直觀地觀察 A、B 兩條特徵線的斜率對比：
* **B 公司的特徵線（紫色線）**：其線條傾斜度顯著**較為陡峭**。這代表當市場報酬率變動時，B 公司報酬率的反應幅度更大，亦即 **B 公司的 Beta 值較小**。
* **A 公司的特徵線（紅色線）**：其線條走勢顯著**較為平緩**。這代表其報酬率對市場大盤波動的敏感度較低，亦即 **A 公司的 Beta 值較小**。
### 結論
因此，圖表所呈現的客觀事實為：**B 公司的貝他值大於 A 公司的貝他值**（$\beta_B &gt; \beta_A$）。原敘述「呈現出 A 公司的貝他值大於 B 公司」與圖中斜率關係完全相反，故為**錯誤 (X)**。</t>
  </si>
  <si>
    <t>根據資本資產定價模型(CAPM)，若某股票的貝他值為&lt;span style="color: red; text-decoration: underline;"&gt; 1 &lt;/span&gt; ，則它的要求報酬也將等於 無風險利率。</t>
  </si>
  <si>
    <t>這個陳述是**錯的**（判斷題應填 **`X`**）。
### 1. 資本資產定價模型 (CAPM) 公式推導
根據資本資產定價模型，任何資產或股票 $i$ 的要求報酬率（期望報酬率）公式如下：
$$E(R_i) = R_f + \beta_i \times [E(R_m) - R_f]$$
在公式中：
* $E(R_i)$ 代表**該股票的要求報酬率**。
* $R_f$ 代表**無風險利率 (Risk-free Rate)**。
* $\beta_i$ 代表**該股票的貝他值（系統性風險指標）**。
* $E(R_m)$ 代表**市場組合的預期報酬率 (Market Return)**。
當我們將該股票的貝他值 **$\beta_i = 1$** 代入公式中：
$$E(R_i) = R_f + 1 \times [E(R_m) - R_f]$$
$$E(R_i) = R_f + E(R_m) - R_f$$
$$E(R_i) = E(R_m)$$
由數學推導可知，當股票的貝他值為 1 時，它的要求報酬率將會**等於「市場組合的預期報酬率（大盤平均報酬率）」**，而非無風險利率。
---
### 2. 財務學理直覺解析
* **貝他值 $\beta = 1$ 的物理意義**：代表該股票的系統性風險與市場整體大盤**完全同步且相同**。既然承擔了與大盤一模一樣的風險，在市場均衡下，投資人對其要求的基本回報自然也必須**等於市場整體的平均報酬率 $E(R_m)$**。
* **什麼時候要求報酬會等於無風險利率？**：只有當股票的 **$\beta_i = 0$**（即完全不隨大盤波動、沒有任何系統性風險）時，代入公式後其要求報酬率才會等於無風險利率 $R_f$。
### 結論
根據 CAPM，當股票之貝他值為 1 時，其要求報酬率應等於**市場預期報酬率**，而非無風險利率。原題敘述在學理上是完全不成立的。</t>
  </si>
  <si>
    <t>X, WACC</t>
  </si>
  <si>
    <t>公司投資一個與目前公司營運風險相同的計畫時，可以運用公司的 &lt;span style="color: red; text-decoration: underline;"&gt; 權益資金成本 &lt;/span&gt; 當計畫的折現率</t>
  </si>
  <si>
    <t>這個陳述是**錯的**（判斷題應填 **`X`**）。
### 1. 核心財務原理：應該使用「加權平均資金成本 (WACC)」而非「權益資金成本」
在評估一項新投資計畫時，如果該計畫的**營運風險 (Operating Risk)** 與目前公司整體營運風險相同，且該計畫的**融資結構（資本結構）**也與公司目前相同，我們應該使用公司的**加權平均資金成本 (Weighted Average Cost of Capital, WACC)** 作為計畫的折現率，而非單純使用「權益資金成本」。
WACC 的基本計算公式為：
$$R_{WACC} = \frac{E}{V} \times R_E + \frac{D}{V} \times R_D \times (1 - T_C)$$
*(其中 $R_E$ 為權益資金成本，$R_D$ 為債務資金成本，$T_C$ 為所得稅率)*
---
### 2. 為什麼使用「權益資金成本 ($R_E$)」是錯誤的？
1. **忽略債務的低成本與稅盾優勢**：
在絕大多數真實情況下，公司並非百分之百使用股權融資，而是會部分舉債。由於債權人承擔的風險較低，且債務利息具有**利息稅盾 (Tax Shield)** 的節稅好處，債務資金成本 $R_D \times (1 - T_C)$ 勢必顯著低於權益資金成本 $R_E$。
2. **導致估值低估（錯失優質計畫）**：
因為 $R_E &gt; R_{WACC}$，如果公司在有舉債的情況下，盲目使用高成本的**權益資金成本 ($R_E$)** 作為整個計畫的折現率（門檻率），會使計畫未來的現金流被過度折現，算出一個偏低、甚至小於零的淨現值 (NPV)，導致公司**錯誤地拒絕 (Refuse)** 一個實質上能夠創造價值的優質計畫。
3. **唯一適用的極端例外**：
只有在公司**完全沒有舉債（100% 股權融資，無負債公司）**的極端前提下，公司的 WACC 才會剛好等於其權益資金成本（$R_{WACC} = R_E = R_0$）。此時，才可以直接拿權益資金成本當作折現率。
### 結論
當投資一個營運風險相同的計畫時，除非公司完全沒有舉債，否則在學理與實務上都必須運用公司的**加權平均資金成本 (WACC)** 作為計畫的折現率，而非權益資金成本。</t>
  </si>
  <si>
    <t>X, 3 個。IRR 法中，現金流產生符號變化，即產生一個實數解</t>
  </si>
  <si>
    <t>右下圖為某計畫全時期的現金流量，若以內部報酬率法(IRR)進行計畫評估，該計畫 會有 &lt;span style="color: red; text-decoration: underline;"&gt; 2 &lt;/span&gt; 個實數解。
![2023090220](https://lh3.googleusercontent.com/d/1C7q13USS9h66zhKnHI1CKI8sEPusNUjJ)</t>
  </si>
  <si>
    <t>這個陳述是**錯的**（判斷題應填 **`X`**）。
### 1. 現金流量結構分析
從投資計畫的現金流量結構來看，全時期的現金流量如下：
* **$t = 0$**：**$-\$300$**（期初投入，流出）
* **$t = 1$**：**$+\$100$**（流入）
* **$t = 2$**：**$-\$100$**（流出）
* **$t = 3$**：**$+\$600$**（流入）
這是一個非常典型的**非典型現金流量 (Non-conventional Cash Flows)**。
---
### 2. 變號次數與笛卡兒符號法則 (Descartes' Rule of Signs)
我們來觀察該計畫現金流量的**符號變化（變號次數）**：
1. 從 $t=0$（負）到 $t=1$（正）：**第 1 次變號**
2. 從 $t=1$（正）到 $t=2$（負）：**第 2 次變號**
3. 從 $t=2$（負）到 $t=3$（正）：**第 3 次變號**
根據**微積分的笛卡兒符號法則**，多項式方程式的正實數解（即實數 IRR）個數，最多等於其係數變號的次數（此處為 3 次），且若有減少，必定減少偶數個（即減少 2 的倍數）。
因此，本計畫的實數解個數只可能是 **3 個或 1 個**，在數學原理上**絕對不可能剛好出現 2 個實數解**。
---
### 3. 精確數學求解證明
我們將此計畫代入淨現值 (NPV) 等於 0 的方程式中，以求解內部報酬率 $r$（即 IRR）：
$$NPV = -300 + \frac{100}{1+r} - \frac{100}{(1+r)^2} + \frac{600}{(1+r)^3} = 0$$
若令 $y = 1+r$，方程式可同乘 $y^3$ 整理為一元三次方程式：
$$-300y^3 + 100y^2 - 100y + 600 = 0$$
透過精確數學求解，此三次方程式的 3 個根分別為：
1. **$y \approx 1.2851$** $\rightarrow$ **$r \approx 28.51\%$（唯一正實數解）**
2. **$y \approx -0.4759 + 1.1532i$** $\rightarrow$ **（共軛虛數解，非實數）**
3. **$y \approx -0.4759 - 1.1532i$** $\rightarrow$ **（共軛虛數解，非實數）**
### 結論
這項計畫在數學上**只有 1 個實數解（$IRR \approx 28.51\%$）**，其餘 2 個皆為共軛虛根。因此，原命題敘述「會有 2 個實數解」在數學與財務學理上皆是錯誤的。</t>
  </si>
  <si>
    <t>一鳥在手理論提到投資人認為，經由保留盈餘再投資而來的資本利得其不確定性較股利支付高，故當公司降低股利支付率時，普通股必要報酬率將&lt;span style="color: red; text-decoration: underline;"&gt; 上升 &lt;/span&gt;</t>
  </si>
  <si>
    <t>這個陳述是**對的**（判斷題應填 **`O`**）。
### 1. 核心財務學理：一鳥在手理論 (Bird-in-the-Hand Theory)
「一鳥在手理論」是由財務學者高登 (Myron Gordon) 與林特納 (John Lintner) 所提出，用以反駁 MM 的股利無關論。該理論的核心直覺來自於一句西方諺語：**「雙鳥在林，不如一鳥在手」** (A bird in the hand is worth two in the bush)。
* **「一鳥在手」**：代表**眼前的現金股利 (Cash Dividends)**。這是投資人此時此刻看得到、拿得到且百分之百確定的現金流入。
* **「雙鳥在林」**：代表**未來的資本利得 (Capital Gains)**。雖然公司承諾將保留盈餘留在內部再投資，有望在未來推升股價，但未來的股價波動與景氣變化充滿高度的不確定性與風險。
---
### 2. 為什麼降低股利支付率會使必要報酬率上升？
一鳥在手理論的核心邏輯鏈條如下：
1. **投資人是風險規避的 (Risk-Averse)**：
投資人普遍討厭不確定性，因此在評估價值時，對「當期股利」所要求的風險溢酬，會遠低於對「未來資本利得」所要求的風險溢酬。
2. **降低股利支付率（Dividend Payout Ratio 減少）的影響**：
當公司選擇降低股利支付率、將更多資金保留在公司（保留盈餘增加）時，對股東而言，代表眼前的「一鳥」變少了，取而代之的是未來充滿不確定性的「雙鳥」。
3. **必要報酬率 ($R_e$) 的反應**：
由於投資人主觀感受到的**投資風險大幅增加**，他們為了補償這個額外承擔的未來不確定性，勢必會**調高（上升）對該公司股票的要求報酬率（必要報酬率 $R_e$）**。
---
### 3. 公式與股價變動的直觀呈現
在戈登股利折現模型 (Gordon Growth Model) 中，股票價格 $P_0$ 的公式為：
$$P_0 = \frac{D_1}{R_e - g}$$
當公司調降股利支付率時：
* 投資人認為風險增加，促使分母的**必要報酬率 ($R_e$) 上升**。
* 必要報酬率的上升，會導致折現後的**股票價格 ($P_0$) 下跌**。這說明了股利政策與公司價值、資金成本息息相關（股利確實「有關」）。
### 結論
一鳥在手理論認為，保留盈餘再投資所帶來的資本利得，其不確定性顯著高於當期股利支付。因此，當公司降低股利發放、增加盈餘保留時，投資人會調高股票的風險貼水，導致**普通股必要報酬率上升**。本題敘述完全正確。</t>
  </si>
  <si>
    <t>2023/9/3</t>
  </si>
  <si>
    <t>計畫評估時，如果總投資金額為 100 億，資金來源為舉債 40 億，權益資金為 60 億，而且假設僅期初投資，未來各期現金流入來回收，而且權益資金的要求報酬率為 RE，計畫(或資產)的未來報酬率為 RA，
( ) 當採用內部報酬率(IRR)法時，如果 CF0= -100 億，則所求出的內部報酬(IRR)是 &lt;span style="color: red; text-decoration: underline;"&gt;ROE&lt;/span&gt;。</t>
  </si>
  <si>
    <t>X, 固定資產減少</t>
  </si>
  <si>
    <t>&lt;span style="color: red; text-decoration: underline;"&gt;長期負債增加，權益的增加，固定資產增加或 淨營運的非現金組成部分的減少&lt;/span&gt;會導致現金增加</t>
  </si>
  <si>
    <t>這個陳述是**錯的**（判斷題應填 **`X`**）。
這題考的是財務管理與會計學中極其經典的**「現金來源與用途 (Sources and Uses of Cash)」**基本觀念。
### 1. 核心關鍵：為什麼這個陳述是錯的？
整段敘述中，**「固定資產增加」**是導致此陳述錯誤的唯一原因：
* **固定資產增加 (Increase in Fixed Assets)**：代表公司購買了更多的機器設備、廠房或土地。這是一項**「現金用途 (Use of Cash)」**。當公司投資購買資產時，資金會流出，這會**導致現金減少**，而不是增加。
* 要導致現金增加，必須是**「固定資產減少（例如處分/出售資產，回收現金）」**。
---
### 2. 逐項剖析：哪些是「現金來源（增加）」，哪些是「現金用途（減少）」？
在資產負債表（$\text{資產} = \text{負債} + \text{權益}$）中，我們可以透過科目的變動來判斷現金的增減流向：
| 科目變動項目 | 現金屬性分類 | 對現金的實際影響 | 學理解析 |
| :--- | :--- | :--- | :--- |
| **長期/短期負債增加** | 現金來源 (Source) | 現金增加 🟢 | 公司向銀行借款或發行債券，現金流入企業。 |
| **股權權益增加** | 現金來源 (Source) | 現金增加 🟢 | 公司發行新股向股東募集資金，現金流入企業。 |
| **固定資產增加** | 現金用途 (Use) | **現金減少 🔴（錯誤處）** | 購買廠房設備需要支付現金，現金流出。 |
| **非現金營運資金減少** | 現金來源 (Source) | 現金增加 🟢 | 例如應收帳款減少（收回帳款）或存貨減少（商品賣出變現），使被積壓的現金釋放出來。 |
---
### 💡 考前速記口訣：資產反向，負債與權益同向
* **資產科目（除現金外）的變動與現金呈「反向」**：
* 資產減少 $\rightarrow$ 現金增加（把資產賣掉換成錢，如收回應收帳款、賣掉存貨或固定資產）。
* 資產增加 $\rightarrow$ 現金減少（花錢去買資產，如買進存貨、固定資產）。
* **負債與權益科目的變動與現金呈「同向」**：
* 負債/權益增加 $\rightarrow$ 現金增加（借到更多錢或現增募資，現金流入）。
* 負債/權益減少 $\rightarrow$ 現金減少（還債、支付利息或買回庫藏股減資，現金流出）。
### 結論
原題所述之「固定資產增加」會導致現金減少；而要導致現金增加，應為「固定資產減少」。因此，本題陳述不正確。</t>
  </si>
  <si>
    <t>2_基本財務報表與分析_財務報表導論</t>
  </si>
  <si>
    <t>財務報表架構與會計原則</t>
  </si>
  <si>
    <t>這個陳述是**錯的**（判斷題應填 **`X`**）。
這題考的是財務管理中用來解釋**「單一公司資金成本 (WACC) 評估不同風險計畫時的決策衝突」**最經典的圖表與觀念。
以下結合學理為您進行最精準的對照解析：
### 1. 前半句的位置描述：是對的
* **敘述**：「A 計畫的預期報酬率低於公司資金成本」
* **圖形對照**：從專案評估圖中可看出，**A 計畫** 確實落在公司資金成本線（加權平均資金成本, WACC 水平線）的**下方**。因此這部分的圖形位置描述是完全正確的。
---
### 2. 後半句的實質判定：是錯的（完全說反了）
* **敘述**：「（A 計畫）為一減少價值的高風險計畫」
* **圖形與學理分析**：
* **風險判定（低風險）**：A 計畫在橫軸（計畫的貝他值 $\beta$）的位置偏左。$\beta$ 值越低，代表其面臨的系統性風險越低。因此，**A 計畫實際上是一個「低風險計畫」**，而非高風險計畫。
* **價值判定（增加價值）**：A 計畫落在證券市場線 (SML) 的**上方**。在 SML 上方的專案，代表其預期報酬率大於該風險水準下投資人所要求的合理報酬率，其 $NPV &gt; 0$。因此，**A 計畫實際上是一個能為公司「增加（創造）價值」的優質計畫**。
---
### 3. WACC 評估法對 A 計畫造成的「決策錯誤」
因為 A 計畫的預期報酬率低於公司的 $WACC$，如果公司高層盲目使用單一 $WACC$ 作為所有專案的折現率（門檻率），就會因為它在資金成本水平線下方，而將其**「錯誤拒絕 (Wrongly Reject)」**。這也是單一資金成本法最常犯的錯誤——把低風險、能創造價值的優質計畫當成賠錢貨給丟棄了。
---
### 💡 對照組：真正的「減少價值的高風險計畫」是 B 計畫
圖中的 **B 計畫** 才是符合題目後半句描述的專案：
* 其 $\beta$ 值偏右，屬於**高風險計畫**。
* 它落在 SML 斜線的下方，預期報酬無法彌補其高風險，是一項 **$NPV &lt; 0$ 的「減少（摧毀）價值」計畫**。
* 但因為它的預期報酬率高於 $WACC$（在資金成本水平線上方），如果盲目用 $WACC$ 評估，公司會**「錯誤接受 (Wrongly Accept)」**這個高風險且摧毀價值的計畫。
### 結論
A 計畫在實質上是一個**「能增加價值的低風險計畫」**。原陳述將其判定為「減少價值的高風險計畫」，完全混淆了 SML（斜線）與 WACC（水平線）的學理定義。
### 📊 投資計畫評估：四大決策區間對照表
| 決策區間 | 圖形位置特徵 | 系統性風險 ($\beta$) | 實質價值 ($NPV$) | WACC 法決策 | SML (CAPM) 法決策 | 盲用 WACC 的決策結果 |
| :--- | :--- | :--- | :--- | :--- | :--- | :--- |
| **① 正確接受** &lt;br&gt;(Correctly Accept) | **SML 上方** 且 &lt;br&gt;**WACC 上方** | 中～高風險 | 🟢 **$NPV &gt; 0$** &lt;br&gt;(創造價值) | 🟢 接受 | 🟢 接受 | **正確決策** |
| **② 錯誤接受** &lt;br&gt;(Wrongly Accept) | **SML 下方** 且 &lt;br&gt;**WACC 上方** | 🔴 **高風險** | 🔴 **$NPV &lt; 0$** &lt;br&gt;(摧毀價值) | 🟢 接受 | 🔴 拒絕 | ❌ **錯誤接受** &lt;br&gt;(高風險垃圾計畫) |
| **③ 正確拒絕** &lt;br&gt;(Correctly Reject) | **SML 下方** 且 &lt;br&gt;**WACC 下方** | 中～低風險 | 🔴 **$NPV &lt; 0$** &lt;br&gt;(損耗價值) | 🔴 拒絕 | 🔴 拒絕 | **正確決策** |
| **④ 錯誤拒絕** &lt;br&gt;(Wrongly Reject) | **SML 上方** 且 &lt;br&gt;**WACC 下方** | 🟢 **低風險** | 🟢 **$NPV &gt; 0$** &lt;br&gt;(創造價值) | 🔴 拒絕 | 🟢 接受 | ❌ **錯誤拒絕** &lt;br&gt;(低風險優質遺珠) |
---
### 🔍 四大決策區間深度學理剖析
#### 區間 ①：正確接受區間 (Correctly Accept)
* **學理特徵**：此類計畫的預期報酬率不僅高於公司的加權平均資金成本 ($WACC$)，更超越了其高風險所對應的市場最低要求報酬率（SML 線上方）。
* **結果**：該計畫的 $NPV$ 實質為正。不論公司是使用單一 $WACC$ 折現，還是使用精準的 CAPM 專案折現率，最終都會做出**「接受」**的正確決定。
---
#### 區間 ②：錯誤接受區間 (Wrongly Accept) —— 高風險陷阱
* **學理特徵**：該計畫屬於高系統性風險（$\beta$ 偏右），由於風險高，市場要求的合理報酬率（SML 線對應點）非常高。然而，其預期報酬率雖然高於公司的 $WACC$（位於資金成本水平線上條），卻**低於 SML 斜線**。
* **決策落差**：
* **盲用 WACC 的評估**：看到預期報酬高於公司資金成本 ($WACC$)，而做出**接受**決策。
* **實質後果**：該計畫並未提供足夠的風險補償 ($NPV &lt; 0$)。公司等於是**承擔了極高的風險，卻僅獲得低於市場應有水準的報酬**，實質上是在摧毀公司價值。
---
#### 區間 ③：正確拒絕區間 (Correctly Reject)
* **學理特徵**：計畫的預期報酬率過低，同時低於公司的 $WACC$ 以及 SML 要求門檻。
* **結果**：計畫 $NPV$ 顯著為負。不論用 $WACC$ 還是 CAPM 評估，公司都會做出**「拒絕」**的正確決定，避免了資金被套牢在賠錢項目中。
---
#### 區間 ④：錯誤拒絕區間 (Wrongly Reject) —— 保守遺珠
* **學理特徵**：該計畫屬於低系統性風險（$\beta$ 偏左）。因為風險低，市場要求的合理要求報酬率（SML 線對應點）非常低。其預期報酬率雖然**低於公司的 $WACC$（位於資金成本水平線下方）**，但其實**高於 SML 斜線**。
* **決策落差**：
* **盲用 WACC 的評估**：看到回報率低於公司平均資金成本，而做出**拒絕**決策。
* **實質後果**：該計畫的實際 $NPV &gt; 0$。這是一項「風險極低且高性價比」的優質專案，卻因為一律採用單一 $WACC$ 衡量，被**錯誤地拒絕**，使公司錯失了安全創造股東價值的機會。
---
### 💡 實務延伸應用：多角化企業的評價陷阱
在企業財務管理實務中，**「不可一概使用單一公司的 WACC 套用在所有專案計畫上」**：
* **多角化經營的盲點**：以跨國製造或多角化企業為例，公司內部若同時存在「傳統成熟業務部門」與「新興高科技業務部門」，這兩個部門所面臨的產業風險與 $\beta$ 值大相逕庭。
* **一視同仁的代價**：若高層在評估時，一律採用集團統一的 $WACC$ 作為折現率，將會導致：
1. **高風險部門**提報的激進計畫被大量**錯誤接受**，因為高風險通常伴隨較高的名目預期報酬。
2. **低風險部門**提報的穩健計畫被大量**錯誤拒絕**，因為低風險專案的預期報酬率通常相對較低。
這最終會導致公司整體的資產組合失衡，系統性風險不斷飆升。</t>
  </si>
  <si>
    <t>X, 可以。股票購回會使權益變動，因此 D/E 比(資本結構)也將變動</t>
  </si>
  <si>
    <t>股票購回雖可視為公司盈餘發放的一種形式，&lt;span style="color: red; text-decoration: underline;"&gt; 無法 &lt;/span&gt;調整資本結構</t>
  </si>
  <si>
    <t>這個陳述是**錯的**（判斷題應填 **`X`**）。
### 1. 核心財務原理：股票購回是調整資本結構的關鍵工具
在公司理財中，**股票購回（股份買回/庫藏股買回）**不僅是公司將多餘資金返還給股東（盈餘發放）的一種管道，更是企業**主動、快速且實質調整其「資本結構（Capital Structure）」最核心且最常用的政策工具之一**。原題指稱「無法調整資本結構」在學理與實務上皆是錯誤的。
---
### 2. 股票購回如何直接改變資本結構？
1. **改變負債與權益比率（D/E Ratio）**：
* 當公司動用帳上多餘的現金，在公開市場上**買回自家股票並註銷（減資）**時，公司的股東權益總額（Equity, \\(E\\)）會隨之減少。在負債總額（Debt, \\(D\\)）維持不變的情況下，公司的**負債權益比（\\(D/E\\) 槓桿比例）將會被動上升**，資本結構因而發生直接改變。
2. **槓桿資本重組（Leveraged Recapitalization）的應用**：
* 誠如課堂中所探討的資本結構經典調整案例：公司可以主動向銀行舉債或發行債券（例如舉債 200 美元），並將這筆募集來的資金全數用於**買回市面上的股票**。
* 這種「以債克股」的融資結構調整，能在公司資產規模與經營項目完全不變的前提下，**直接將無負債公司（Unlevered）改造為高負債公司（Levered）**。這正是利用股票購回來劇烈且主動調整資本結構的典型實務操作。
3. **回收無投資效益之資金以優化財務數據**：
* 當企業缺乏淨現值大於零的投資計畫時，透過股票購回將資金吐回給股東，不僅能降低自由現金流量的代理成本，更能藉由減少流通在外的股數，拉高**每股盈餘（EPS）**與**股東權益報酬率（ROE）**，達到優化資本結構與資本效率的目的。
---
### 3. 與發放現金股利的本質差異
雖然「發放現金股利」與「股票購回」皆是公司盈餘發放的形式，但兩者對資本結構的控制力大不相同：
* **發放現金股利**：僅是單純的現金流出，公司的流通在外股數與每股面額並不會改變。
* **股票購回**：會實質註銷股本或形成庫藏股，**對於公司資本結構的槓桿配置具有更強烈、更靈活的主動控制權**。
### 結論
股票購回是企業重塑資本結構的標準配備。不論是單純利用自有盈餘買回股權，還是透過「舉債買回」的槓桿資本重組，都會使公司的資本結構發生顯著改變。</t>
  </si>
  <si>
    <t>股票買回(Share Repurchase)決策與效應</t>
  </si>
  <si>
    <r>
      <rPr>
        <rFont val="Microsoft JhengHei"/>
        <color theme="1"/>
        <sz val="12.0"/>
      </rPr>
      <t xml:space="preserve">這個陳述是**錯的**（判斷題應填 **`X`**）。
這題考的是**有稅情形下的 MM 第二命題 (MM Proposition II with Taxes)** 中，資本結構（槓桿程度）與加權平均資金成本 ($R_{WACC}$) 之間的變動關係。
以下為您進行詳細的學理解析與觀念拆解：
---
### 1. 核心判定：$R_{WACC}$ 隨槓桿增加而「下降」
根據 MM 有稅理論，當我們把**公司所得稅 (Corporate Tax)** 納入考量時，**公司的加權平均資金成本 ($R_{WACC}$) 會隨著槓桿程度（舉債比例）的增加而「下降（減少）」，而非增加**。
其背後的驅動邏輯為：
* **利息稅盾 (Interest Tax Shield) 效果**：公司舉債所支付的利息可以列為費用以扣抵應稅所得，使公司減少支付 $T_c \times R_D \times D$ 的所得稅款。
* **拉低實質負債成本**：因為有利息稅盾，公司實質承擔的稅後負債資金成本變為更便宜的 **$R_D \times (1 - T_c)$**。
* **拉低整體 $R_{WACC}$**：隨著舉債比例（槓桿）提高，這部分成本較低的稅後債務資金在 $WACC$ 的加權比重隨之增加。在數學上，$WACC$ 會隨著負債比率的提升而**逐步下降**，進而推動公司價值逐步上揚（即 $V_L = V_U + T_c D$）。
---
### 2. 容易混淆的盲點：WACC 還是股權成本 ($R_E$)？
此題常見的混淆點，在於將 **加權平均資金成本 ($R_{WACC}$)** 與 **股權資金成本 ($R_E$)** 混為一談：
* **股權資金成本 ($R_E$) 確實會增加**：根據 MM 第二命題，不論有無稅，隨著舉債程度 ($D/E$) 提高，股東承擔的財務風險增加，因此**股權要求報酬率 ($R_E$) 確實會呈正斜率往上增加**。
* **WACC ($R_{WACC}$) 依然會下降**：雖然股權成本 ($R_E$) 被拉高，但在有稅環境下，**股權成本上升的幅度，並不足以完全抵消「利息稅盾」所帶來的省稅效益**。因此，兩者加權平均後的整體 $WACC$ 依然是呈現**單向下降趨勢**。
---
### </t>
    </r>
    <r>
      <rPr>
        <rFont val="Segoe UI Symbol"/>
        <color theme="1"/>
        <sz val="12.0"/>
      </rPr>
      <t>💡</t>
    </r>
    <r>
      <rPr>
        <rFont val="微軟正黑體"/>
        <color theme="1"/>
        <sz val="12.0"/>
      </rPr>
      <t xml:space="preserve"> 核心理論速記對照表（MM 理論比較）
| MM 資本結構理論 | 槓桿程度增加時，股權要求報酬率 ($R_E$) | 槓桿程度增加時，加權平均資金成本 ($WACC$) |
| :--- | :--- | :--- |
| **無稅 MM 理論** | </t>
    </r>
    <r>
      <rPr>
        <rFont val="Segoe UI Symbol"/>
        <color theme="1"/>
        <sz val="12.0"/>
      </rPr>
      <t>📈</t>
    </r>
    <r>
      <rPr>
        <rFont val="微軟正黑體"/>
        <color theme="1"/>
        <sz val="12.0"/>
      </rPr>
      <t xml:space="preserve"> **線性增加**（彌補財務風險） | </t>
    </r>
    <r>
      <rPr>
        <rFont val="Segoe UI Symbol"/>
        <color theme="1"/>
        <sz val="12.0"/>
      </rPr>
      <t>➖</t>
    </r>
    <r>
      <rPr>
        <rFont val="微軟正黑體"/>
        <color theme="1"/>
        <sz val="12.0"/>
      </rPr>
      <t xml:space="preserve"> **維持不變**（資本結構無關） |
| **有稅 MM 理論** | </t>
    </r>
    <r>
      <rPr>
        <rFont val="Segoe UI Symbol"/>
        <color theme="1"/>
        <sz val="12.0"/>
      </rPr>
      <t>📈</t>
    </r>
    <r>
      <rPr>
        <rFont val="微軟正黑體"/>
        <color theme="1"/>
        <sz val="12.0"/>
      </rPr>
      <t xml:space="preserve"> **增加（斜率變緩）** | </t>
    </r>
    <r>
      <rPr>
        <rFont val="Segoe UI Symbol"/>
        <color theme="1"/>
        <sz val="12.0"/>
      </rPr>
      <t>📉</t>
    </r>
    <r>
      <rPr>
        <rFont val="微軟正黑體"/>
        <color theme="1"/>
        <sz val="12.0"/>
      </rPr>
      <t xml:space="preserve"> **逐步下降**（因具備利息稅盾） |
### 結論
在考慮所得稅的 MM 第二命題中，加權平均資金成本 ($WACC$) 隨槓桿程度的提升應呈現**下降趨勢**。原陳述若主張 WACC 隨槓桿上升，則為錯誤。</t>
    </r>
  </si>
  <si>
    <t>證券市場的&lt;span style="color: red; text-decoration: underline;"&gt; 個別風險 &lt;/span&gt; ，可以透過證券市場內的資產組合來分散掉</t>
  </si>
  <si>
    <t>這個敘述是**對的**（判斷題應填 **`O`**）。
### 1. 個別風險的定義
在財務學與投資組合運作中，資產的總風險可拆分為兩大類：
* **個別風險 (Unique Risk / 個別因素)**：又稱為**非系統性風險 (Nonsystematic Risk)** 或可分散風險。這是由單一企業自身的獨特事件所引起的風險（例如：公司研發失敗、工廠意外失火、個別經理人管理不善等）。
* **系統性風險 (Systematic Risk)**：是由總體外部環境共同因素引起的風險（例如：中央銀行升息、通貨膨脹、地緣政治危機等）。這類風險無差別地衝擊市場上的每一家公司。
---
### 2. 資產組合的分散效果 (Diversification)
* **好壞互相抵銷**：因為個別風險僅受單一公司的獨立事件影響，各公司事件的發生具有高度隨機性與不相關性。在一個足夠多元的投資組合中，有些公司發生壞事（股價下跌），有些公司正好發生好事（股價上漲），這些**個別風險在統計上會互相抵銷**。
* **風險往下壓至接近零**：當投資人透過證券市場建立一個**「投資組合」**，並持續將不同產業、不同特性的資產納入，使組合變得更豐富、更龐大時，**個別風險（非系統性風險）就能被幾乎完全分散並消除（往下壓）**。
* **系統性風險避不掉**：與之相反，不論投資組合多麼龐大（即便買下整個市場指數或 ETF），當面臨系統性衝擊時，市場中所有資產都會共同受到影響，因此**系統性風險是無法透過投資組合分散掉的**。
---
### 結論
這正是證券投資組合的核心精髓：**「雞蛋不要放在同一個籃子裡」**。投資人可以透過在市場內建立資產組合，將個別風險完全分散，使得最終的投資組合僅需承擔「系統性風險」，而資本市場也僅會針對這無法避開的系統性風險給予風險補償 (Risk Premium)。</t>
  </si>
  <si>
    <t>投資組合多角化與風險分散</t>
  </si>
  <si>
    <t>現金循環越短時，代表公司存在流動性問題的可能越 &lt;span style="color: red; text-decoration: underline;"&gt; 低 &lt;/span&gt;</t>
  </si>
  <si>
    <t>這個陳述是**對的**（判斷題應填 **`O`**）。
### 1. 核心財務原理：現金循環與流動性之關係
**現金循環 (Cash Conversion Cycle, CCC，或稱現金週轉期)** 是衡量企業營運流動性最關鍵的指標，它代表企業從支付現金採購原物料進貨開始，一直到銷售商品並實際收回現金為止，資金被積壓在營運過程中的時間天數。其計算公式如下：
$$\text{現金循環} = \text{平均存貨天數} + \text{平均應收帳款天數} - \text{平均應付帳款天數}$$
當企業的**現金循環越短**，代表：
* **資金回收速度極快**：錢壓在存貨與應收帳款等營運資金 (Working Capital) 的時間極短，手頭能隨時動用的現金水位極為充裕，誠如教授在課堂所言：「現金在手，你快樂無窮！」。
* **甚至可能為負數（卓越的流動性）**：例如在 B2C、零售或早期遊戲產業中，由於能直接向終端消費者收取現款（應收帳款天數極短），同時又能對供應商賒帳（應付帳款天數較長），會產生**負的現金循環**，代表公司在還沒付款給供應商前，就已經拿顧客的錢在做生意，流動性極佳。
* **流動性危機大減**：流動性問題代表企業短期內會不會馬上掛掉（就像人的血管流暢度，阻塞嚴重就會猝死）。現金循環越短，營運資金被無端積壓的狀況越少，因「跑三點半」或資金斷鏈而導致**「週轉不靈」或「黑字倒閉」的流動性危機 (Insolvency) 機率自然就越低**。
---
### 2. 課堂實證案例：國產車的「血液循環」危機
教授在課堂中舉了台灣汽車產業的經典案例來佐證：
* **裕隆與中華車**：其現金循環天數長年穩定控制在約 **60 天（兩個月）** 左右，代表資金血液循環相當健康正常。
* **國產車的致命警訊**：國產車雖然在 1997 年時帳面上看起來非常賺錢（有會計盈餘），但其**現金循環天數卻急遽拉長到 350 天**。
* 這代表它「花一塊錢出去，要搞將近一年錢才回來」，資金嚴重積壓在存貨與應收帳款上，血液循環徹底堵塞。最終，國產車在 1998 年就因「週轉不靈」而爆發財務危機下市，印證了**現金循環過長是流動性崩潰的致命先兆**。
### 結論
現金循環天數越短，代表資金流轉效率越高、積壓在營運上的非現金資產越少，企業存在流動性危機的風險當然就越低。</t>
  </si>
  <si>
    <t>2023/4/26</t>
  </si>
  <si>
    <t>X, ATCF</t>
  </si>
  <si>
    <t>計畫評估時，如果總投資金額為 100 億，資金來源為舉債 40 億，權益資金為 60 億，而且假設僅期初投資，未來各期現金流入來回收，而且權益資金的要求報酬率為 RE，計畫(或資產)的未來報酬率為 RA，
( ) 當採淨現值法(NPV 法)時，如果 CF0= -60 億，則未來各期現金流量為營運現金流量&lt;span style="color: red; text-decoration: underline;"&gt;(OCF)&lt;/span&gt; 。</t>
  </si>
  <si>
    <t>考古題答案有疑慮</t>
  </si>
  <si>
    <t>X, 不應扣除</t>
  </si>
  <si>
    <t xml:space="preserve">計畫評估時，如果總投資金額為 100 億，資金來源為舉債 40 億，權益資金為 60 億，而且假設僅期初投資，未來各期現金流入來回收，而且權益資金的要求報酬率為 RE，計畫(或資產)的未來報酬率為 RA，
( ) 當採用內部報酬率(IRR)法時，如果 CF0=-100 億，則未來各期現金流量 &lt;span style="color: red; text-decoration: underline;"&gt;應扣除&lt;/span&gt; 債務
利息支付。
</t>
  </si>
  <si>
    <t>這個陳述是**錯的**（判斷題應填 **`X`**）。
這題剛好與上一題的觀念形成**最完美的對比**！這兩題合在一起，就是財務管理在「資本預算」章節中最核心的**配對一致性原則 (Consistency Principle)**。
以下為您詳細解析為什麼這題「不應扣除」利息：
### 1. 核心財務邏輯：專案整體（資產）觀點
當計畫評估設定 $CF_0 = -100$ 億（即總投資金額）時，代表我們是站在**「專案（資產）整體」**的視角，來評估這個計畫本業到底值不值得投資，此時：
1. **期初投入 ($CF_0$)**：納入了不論是舉債（40億）還是股權（60億）的**全部資金共 100 億**。
2. **未來各期現金流量 ($CF_t$)**：必須是專案本業創造的**營運現金流量 (OCF)**。
* **營運現金流量 (OCF) 是「不扣除債務利息支付」的**。
* 因為利息是「融資決策」下的產物。在資產觀點下，我們關注的是資產本業的獲利能力，因此未來的回收不應扣除利息。
3. **折現率 / 比較基準**：應搭配計畫（或資產）的要求報酬率 **$R_A$**（即公司的加權平均資金成本 $R_{WACC}$）。
---
### 2. 如果「扣除利息」會發生什麼致命錯誤？
如果您在期初列了 **$CF_0 = -100$ 億**（承擔了全部 100 億的投資代價），但未來的各期現金流卻「扣除了利息支付（變成股權現金流 ECF）」，將會導致嚴重的**「低估偏誤 (Underestimation Bias)」**：
* 這相當於：**您在期初幫整間公司出了 100 億的全部成本，但未來各期回收時，卻只拿扣除利息後、分給股東的「剩餘部分」**。
* 這種不一致的配對，會使計算出來的內部報酬率 (IRR) 或淨現值 (NPV) **異常低估**，導致公司在評估時，錯誤地拒絕一個本業實質上非常賺錢的優質計畫。
---
### 💡 兩題合併對照，考前必背配對公式
這兩題在期末考通常會成雙成對地出現，請直接背下這套**黃金配對律**：
| 題型條件 | 觀點分類 | 期初投入 ($CF_0$) | 未來各期現金流量 ($CF_t$) | 適用折現率 ($r$) | 答案判讀關鍵 |
| :--- | :--- | :--- | :--- | :--- | :--- |
| **上一題** | 股權觀點 | **-60 億** (僅股東出資) | **股權現金流量 (ECF)** &lt;br&gt; *(必須扣除稅後利息)* | **$R_E$** | 期初少計債務，未來就**必須扣利息**。 |
| **本題** | 資產觀點 | **-100 億** (總資產投資) | **營運現金流量 (OCF)** &lt;br&gt; *(絕對不能扣除利息)* | **$R_A$ (WACC)** | 期初已計債務，未來就**不能扣利息**。 |
因此，當 $CF_0 = -100$ 億時，未來各期現金流量**不應扣除**債務利息支付。原題所述之「應扣除」在財務學理上是錯誤的。</t>
  </si>
  <si>
    <t>5_資本支出預算決策_增量現金流量</t>
  </si>
  <si>
    <t>X, 價格風險</t>
  </si>
  <si>
    <t>就債券而言，長期債券較短期債券而言，長期債券的 &lt;span style="color: red; text-decoration: underline;"&gt;再投資風險&lt;/span&gt; 較大</t>
  </si>
  <si>
    <t>還沒上到?</t>
  </si>
  <si>
    <t>X, Project B,因為此時 Project B 淨現值大於 Project A</t>
  </si>
  <si>
    <t>現實世界中，公司經理人的目的是追求 &lt;span style="color: red; text-decoration: underline;"&gt;股東價值/span&gt;極大化</t>
  </si>
  <si>
    <t>X, 平均應付帳款天數越長越好</t>
  </si>
  <si>
    <t>對公司而言， 平均應收帳款天數及平均應付帳款天數 &lt;span style="color: red; text-decoration: underline;"&gt;愈短/span&gt; 愈好</t>
  </si>
  <si>
    <t>這個敘述是**錯的**（判斷題應填 **`X`**）。
這是一個非常經典的營運資金管理 (Working Capital Management) 觀念題。對公司而言，這兩個指標的期望方向是**相反的**：
### 1. 平均應收帳款天數：**「愈短愈好」**
* **學理解析**：應收帳款代表貨已經賣出去、但資金還被客戶佔用。在財務的世界中，錢越早收回來越安全、越有時間價值。
* **優點**：應收帳款天數愈短，代表**公司變現收回的速度愈快**，這能避免資金無端積壓在外部，並降低呆帳風險。因此，應收帳款確實是越早收現越好。
### 2. 平均應付帳款天數：**「愈長愈好」**
* **學理解析**：應付帳款是向供應商進貨時，對方給予公司的寬限期，屬於一種無息的交易信用 (Trade Credit)。
* **優點**：在經商與理財的原則中，錢是「越晚出去越好」，也就是應付帳款愈晚支付愈好。在不破壞與供應商的信用關係下，應付帳款天數愈長，代表公司能留在手邊自由運用的現金就愈多，這也就是財務上最常強調的「現金在手，你快樂無窮」。
---
### 3. 從「現金循環 (CCC)」公式來驗證
公司的營運現金循環長度 (Cash Conversion Cycle, CCC) 計算公式為：
$$\text{現金循環} = \text{平均存貨天數} + \text{平均應收帳款天數} - \text{平均應付帳款天數}$$
要讓公司的現金循環天數達到最短、提升營運流動性：
* **存貨天數**與**應收帳款天數**必須盡可能**縮短**。
* 但作為減項的**應付帳款天數**，必須盡可能**拉長**。
例如電信大廠或大型代工龍頭，就是透過強大的議價能力，讓應付帳款天數顯著大於應收帳款天數，進而為公司創造出極為充裕的流動現金。
### 結論
對公司而言，**平均應收帳款天數是愈短愈好，但平均應付帳款天數是愈長（愈晚付款）愈好**。因此，原題敘述是錯誤的。</t>
  </si>
  <si>
    <t>1_公司理財導論_什麼是財務管理及其重要的原因</t>
  </si>
  <si>
    <t>X, 投資級</t>
  </si>
  <si>
    <t>評等為 BBB 或 Baa 級以上的債券為 &lt;span style="color: red; text-decoration: underline;"&gt;投機級/span&gt; 債券</t>
  </si>
  <si>
    <t>這個陳述是**錯的**（判斷題應填 **`X`**）。
### 1. 核心財務學理：投資級與投機級的分界線
在信用評等 (Credit Rating) 的標準中，債券依據違約風險的高低被嚴格劃分為兩大陣營，而 **BBB 級（S&amp;P / Fitch）或 Baa 級（Moody's）正是這條至關重要的分界線基準**：
* **投資等級債券 (Investment Grade Bonds)**：
* 信用評等在 **BBB 級（含 BBB-）或 Baa 級（含 Baa3）以上**的債券，在學理與市場上皆被定義為**「投資級」債券**。
* 這類債券的違約率極低，代表發行機構（如政府或體質優良之大型企業）具有足夠的還本付息能力，通常是保守型投資人、大型保險公司或退休基金在法規限制下唯一被允許投資的債券類型。
* **投機等級債券 (Speculative Grade Bonds / 非投資等級債)**：
* 又稱為**高收益債 (High Yield Bonds) 或垃圾債券 (Junk Bonds)**。
* 其信用評等在 **BB 級（含 BB+）或 Ba 級（含 Ba1）及以下**。這類債券違約風險顯著攀升，因此發行公司必須支付極高的票面利率（高風險貼水）以吸引投資人。
---
### 2. 跨越分界線對企業資金成本 ($R_d$) 的致命衝擊
授課教授在課堂上強調，維持在「投資等級（BBB 以上）」對企業而言是生死交關的任務：
* **資金成本暴增**：當公司的信用評等從 BBB-（投資級的最底線）不幸被降評一檔至 BB+（投機級的第一檔）時，其債務的**資金成本將會「差非常大」（劇烈上升）**。
* 這是因為一旦跌入投機級（垃圾債），市場上龐大的防禦型法人資金（如公教退休基金、銀行信託資金）因受限法規與風控內規，將會被**強迫集體拋售該公司債券**，使得公司未來想在資本市場上借錢（發債融資）變得困難重重。
### 結論
評等為 BBB 或 Baa 級以上的債券在信用評等中屬於**「投資級」**債券，而非「投機級」債券。原敘述與信評定義完全相悖。</t>
  </si>
  <si>
    <t>債券之殖利率就是投資人持有到期時的 &lt;span style="color: red; text-decoration: underline;"&gt;複利率 &lt;/span&gt;</t>
  </si>
  <si>
    <t>這個陳述是**對的**（判斷題應填 **`O`**）。
### 1. 核心財務學理：殖利率 (YTM) 的定義與複利本質
在債券評價與投資學中，**到期殖利率 (Yield to Maturity, YTM，簡稱殖利率)** 在財務數學的定義上，就是一種**年化複利率**：
* **內部報酬率 (IRR) 的化身**：殖利率是使債券未來所有現金流量（各期票息＋期末面額）的折現現值，剛好等於當前債券市場價格的**折現率 (Discount Rate)**。在財務原理中，折現與複利是一體兩面的，此折現率的計算基礎即是**複利折現**，因此殖利率本質上就是持有至到期時的**年化複利率**。
* **非單利計算**：它絕非單利 (Simple Interest)，而是假設資金具有時間價值、在各期之間持續進行複利滾存的預期回報率。
---
### 2. 殖利率等於「持有至到期真實複利報酬率」的兩個關鍵假設
投資人買入債券並持有至到期時，其最終獲得的真實年化複利回報率要剛好等於購買當初的「殖利率」，在學理上必須完全滿足以下兩個關鍵假設：
1. **持有至到期 (Hold to Maturity)**：投資人必須中途不轉讓、不提前賣出債券，完整持有至債券清償期滿。
2. **票息再投資假設 (Reinvestment Assumption)**：投資人中途收到的每一期票息 (Coupons)，都必須立刻以**等同於該「到期殖利率 (YTM)」的利率**重新投入市場進行複利再投資。
這與我們在評估計畫時，**內部報酬率 (IRR) 要求未來回收的營運現金流必須以該 IRR 利率進行再投資**的邏輯是完全一致的。
### 結論
債券的到期殖利率確實就是投資人買入、持有至到期日、且中途票息皆以同等利率進行再投資下的**年化複利率**。因此，本題陳述完全正確。</t>
  </si>
  <si>
    <t>3_基本財務報表與分析_時間價值與衡量</t>
  </si>
  <si>
    <t>貨幣時間價值與折現運算</t>
  </si>
  <si>
    <t>X, 融資活動</t>
  </si>
  <si>
    <t>一般企業現金股利的發放是屬於現金流量表中的 &lt;span style="color: red; text-decoration: underline;"&gt;投資活動 &lt;/span&gt; 現金流量</t>
  </si>
  <si>
    <t>這個陳述是**錯的**（判斷題應填 **`X`**）。
### 1. 核心財務與會計學理：為什麼是「籌資（融資）活動」？
在財務管理與現金流量表 (Statement of Cash Flows) 中，**發放現金股利**屬於**「籌資活動 (Financing Activities，或稱融資活動)」**的現金流出，而非投資活動：
* **對應資產負債表右手邊（融資決策）**：
資產負債表的右手邊是**「負債與股東權益」**，代表企業**資金的來源與融資決策**。發放現金股利是企業將賺得的盈餘發還給股東（股權資金提供者），這屬於調整或回饋資本來源的決策。因此，在現金流量表上，它必須歸類在與資金募集、償還直接相關的**「籌資（融資）活動」**。
* **投資活動 (Investing Activities) 對應的是左手邊（投資決策）**：
投資活動的現金流量主要指企業在**長期資產（如購置廠房、機器設備等固定資產資本支出）**以及**對外投資（如購買其他公司的股票或債券）**上的取得與處分。企業「發放」股利給自己的股東，並非在投資任何資產，因此不屬於投資活動。
---
### 2. 現金流量表三大活動分類速記
為了方便您在考試時快速判讀，可以對照資產負債表的科目結構進行記憶：
| 現金流量分類 | 對應資產負債表板塊 | 典型代表科目與交易項目 |
| :--- | :--- | :--- |
| **營業活動** &lt;br&gt; (Operating) | **流動資產 &amp; 流動負債** &lt;br&gt; (營運資金項目) | 銷貨收現、支付薪資、存貨增減、應收帳款增減、應付帳款增減。 |
| **投資活動** &lt;br&gt; (Investing) | **非流動資產 (左手邊)** &lt;br&gt; (投資決策) | 購買或出售機器設備、廠房、土地，以及買賣其他公司的股票與債券。 |
| **籌資活動** &lt;br&gt; (Financing) | **非流動負債 &amp; 股東權益 (右手邊)** &lt;br&gt; (融資決策) | 借入或償還長期借款、發行公司債、現金增資發行新股、買回庫藏股，以及**發放現金股利**。 |
---
### 3. 會計準則的嚴謹區分（常考陷阱）
在不同的會計準則下，對於「股利」的分類有極其細微的常考規範：
1. **企業「發放」現金股利給自己的股東**：
* **US GAAP（美國會計準則）**：**強制**列為**籌資活動**。
* **IFRS（國際財務報導準則）**：通常列為**籌資活動**（但允許選擇歸類為營業活動，以反映其屬於營運盈餘之分派，**但無論如何皆不可列為投資活動**）。
2. **企業因投資其他公司而「收到」現金股利**：
* 這代表企業的對外「投資收益」，因此在 **IFRS** 下，可選擇歸類為**投資活動**或營業活動（在 **US GAAP** 下則強制列為營業活動）。
### 結論
一般企業**發放現金股利**，本質上是向股東回饋股權資金成本，屬於資產負債表右側的融資決策變動。因此，在現金流量表中**屬於「籌資/融資活動」**，而非投資活動。</t>
  </si>
  <si>
    <t>X, 低</t>
  </si>
  <si>
    <t>其他條件相同下，短期債券的價格風險較長期債券為 &lt;span style="color: red; text-decoration: underline;"&gt;高 &lt;/span&gt;</t>
  </si>
  <si>
    <t>這個陳述是**錯的**（判斷題應填 **`X`**）。
在其他條件（如票面利率、面額、信用評等）相同下，**長期債券的價格風險（利率風險）顯著高於短期債券**，而非短期債券較高。
以下為您進行詳細的財務學理解析：
### 1. 價格風險 (Price Risk / 利率風險) 的定義
**價格風險**是指當市場利率變動時，債券價格隨之波動並導致投資人面臨損失的風險。
債券價格與市場利率（無風險利率）呈**反向變動關係**。當市場利率上升時，債券價格會下跌。而這個價格下跌的「敏感度」高低，就決定了價格風險的大小。
---
### 2. 為什麼長期債券的價格風險（波動）比短期債券大？
我們可以從**財務數學（折現原理）**與**存續期間 (Duration)** 的直覺來理解：
1. **乘數與折現次方的累積效應**：
債券價格是未來各期票息與期末面額的折現現值總和。長期債券的現金流分布在非常遙遠的未來（例如 10 年、20 年或 30 年後），其面額在折現時的分母為 $(1+R)^N$，其中 $N$ 非常大。
* 當市場利率 $R$ 發生微小變動時，由於**次方數 $N$ 很大**，這個變動經過多次方的乘數效應放大後，會對遙遠未來的現值產生**極為劇烈的衝擊**。
* 相反地，短期債券（例如 1 年期）的 $N$ 很小，利率變動對其現值的影響非常微弱。
2. **存續期間 (Duration) 較長**：
在債券投資理論中，**存續期間**是衡量債券價格對利率變動敏感度的指標。**到期時間 (Maturity) 愈長，債券的存續期間就愈長**。
* 存續期間愈長，代表當市場利率變動 1% 時，債券價格的變動百分比愈大。這在學理上直接證明了長期債券的價格風險遠高於短期債券。
---
### 3. 長短期債券的雙重風險權衡 (Trade-off)
在債券投資中，長期與短期債券各自面面臨不同的主要風險，通常呈現完美的互補關係：
* **長期債券**：
* **價格風險（利率風險）🟢 高**（因為存續期間長，價格對利率極度敏感）。
* **再投資風險 🔴 低**（因為鎖定了長期的票息回報，不需頻繁在市場上尋找新的投資標的）。
* **短期債券**：
* **價格風險（利率風險）🔴 低**（因為很快到期，價格波動極小，體質非常接近現金）。
* **再投資風險 🟢 高**（因為很快就會拿到本金與利息，必須頻繁重新投入市場，若遇到利率下跌，未來能取得的複利回報將會變差）。
### 結論
在其他條件相同下，由於長期債券的現金流折現次數多、存續期間長，其價格對利率的敏感度極高。因此，**長期債券的價格風險比短期債券高**。原陳述「短期債券的價格風險較長期債券為高」與財務學理完全相反。</t>
  </si>
  <si>
    <t>&lt;span style="color: red; text-decoration: underline;"&gt;資本結構 &lt;/span&gt; 為企業資金的來源，包括各種流動負債、長期負債與權益。</t>
  </si>
  <si>
    <t>8_資本結構決策_ 財務槓桿與公司價值</t>
  </si>
  <si>
    <t>財務槓桿與每股盈餘(EPS)風險</t>
  </si>
  <si>
    <t>X, 營運活動</t>
  </si>
  <si>
    <t>在現金流量表中， &lt;span style="color: red; text-decoration: underline;"&gt;投資活動 &lt;/span&gt; 現金流量最為重要，可看出本業獲利能力</t>
  </si>
  <si>
    <t>這個陳述是**錯的**（判斷題應填 **`X`**）。
在現金流量表 (Statement of Cash Flows) 中，不論是在學理還是實務上，最為重要且最能看出**「本業獲利與收現能力」**的指標，是**「營業活動現金流量 (Operating Cash Flow, OCF)」**，而非「投資活動現金流量」。
以下為您詳細解析這兩者的本質差異與重要性：
---
### 1. 營業活動現金流量 (OCF)：本業獲利與血液循環的靈魂
* **本業收現能力**：營業活動現金流量反映的是企業透過**日常核心業務**（如採購原材料、製造商品、銷售、回收帳款等營運資金管理項目）實際流入與流出的現金。
* **看清「紙上富貴」的照妖鏡**：有些公司帳面上的「會計利潤（EBIT 或淨利）」看起來非常漂亮，但如果它的**營業活動現金流量持續為負數**，通常代表公司的錢都被積壓在收不回來的應收帳款或賣不掉的存貨中。這種「有獲利、沒現金」的狀態極易引發營運資金斷鏈，導致企業「黑字倒閉（週轉不靈破產）」。因此，**營業活動現金流量才是檢視本業經營健康度最關鍵的指標**。
---
### 2. 投資活動現金流量 (Investing Cash Flow)：未來擴張的溫度計
* **資金去處與資產配置**：投資活動主要反映企業在**中長期資產（如蓋廠房、購買機器設備、購置土地等固定資產資本支出）**以及對外投資（如購買其他企業的股票或債券）的現金流動。
* **通常呈「負值」**：對於一家處於成長或擴張期的優秀企業而言，其投資活動現金流量通常會是**負數**（代表現金淨流出），因為企業必須不斷投入大量資金進行資本支出 (CapEx)，以維持未來的競爭力。
* **無法反映當期獲利**：如果一家公司的投資活動現金流量出現巨大的「正值」（現金淨流入），這通常不代表它本業很會賺錢，反而往往是因為公司正在**「變賣家產」**（出售土地、廠房、設備）或處分轉投資股權。
---
### 💡 考前精華對照：現金流量表兩大活動之功能
| 現金流分類 | 最核心的解讀價值 | 理想的健康特徵 | 異常的警訊 |
| :--- | :--- | :--- | :--- |
| **營業活動現金流量** &lt;br&gt; (OCF) | 衡量**本業經營與收現能力** | **持續維持穩定正值** &lt;br&gt; (且能支應盈餘發放與利息) | 帳面有獲利，但 OCF 持續為負（代表資金被存貨與應收帳款嚴重積壓）。 |
| **投資活動現金流量** &lt;br&gt; (ICF) | 衡量**企業中長期擴張與資本配置** | **適度的負值** &lt;br&gt; (代表持續進行資本支出以投資未來) | 大額的正值（往往是靠處分廠房、土地等一次性資產變現來撐渡難關）。 |
### 結論
若要評估企業的**本業獲利能力**，必須優先觀察**營業活動現金流量 (OCF)**；而投資活動現金流量主要是用來觀察企業的長期擴張意願與資本支出配置。因此，原題敘述混淆了這兩個不同現金流區塊的功能。</t>
  </si>
  <si>
    <t>X, 大於1</t>
  </si>
  <si>
    <t>獲利指數法的值 大於 &lt;span style="color: red; text-decoration: underline;"&gt; 0 &lt;/span&gt; 時，淨現值一定為正</t>
  </si>
  <si>
    <t>這個陳述是**錯的**（判斷題應填 **`X`**）。
在資本預算決策中，獲利指數法 (Profitability Index, PI，又稱利潤指數) 與淨現值 (Net Present Value, NPV) 之間的決策判定分界線是 **「1」**，而非「0」。
---
### 1. 核心財務公式與邏輯
我們從兩者的計算公式可以非常直觀地看出關係：
* **獲利指數 (PI)**：
$$PI = \frac{\text{未來現金流入的現值}}{\text{期初現金流出的現值}}$$
這是用**相除（比例）**來呈現投入與回收的關係。
* **淨現值 (NPV)**：
$$NPV = \text{未來現金流入的現值} - \text{期初現金流出的現值}$$
這是用**相減（絕對值）**來呈現所創造的淨價值。
---
### 2. PI 與 NPV 的對應關係
由於期初投資（分母）與未來回收的現值皆為正數，PI 的值在絕大多數有回收的專案中都會「大於 0」。但專案是否能創造價值，取決於 **PI 與 1 的對比**：
* **當 $PI &gt; 1$ 時**：代表未來現金流入的現值**大於**期初投資成本，此時 **$NPV &gt; 0$（淨現值一定為正）** 🟢。
* **當 $PI = 1$ 時**：代表未來流入現值剛好等於成本，此時 **$NPV = 0$** 🟡。
* **當 $0 &lt; PI &lt; 1$ 時**：例如 $PI = 0.8$，這代表未來的回收現值只有投入成本的 80%，此時 **$NPV &lt; 0$（淨現值為負）** 🔴。
### 結論
當獲利指數 (PI) 僅大於 0 但小於 1（例如 0.8）時，代表這項計畫是賠錢的，其淨現值 (NPV) 實際上是負數。因此，必須是**獲利指數 (PI) 大於 1 時，淨現值才一定為正**。原題陳述將分界線誤設為 0，在財務學理上是錯誤的。</t>
  </si>
  <si>
    <t>淨現值法(NPV)與獲利指數法(PI)</t>
  </si>
  <si>
    <t>X, 增加。R 變小, R-g 就會更小，R-g 在模型分母，因此 P 會增加</t>
  </si>
  <si>
    <t>&lt;span style="color: red; text-decoration: underline;"&gt; 買權 &lt;/span&gt; 是一種權利而非義務，有利時才會執行</t>
  </si>
  <si>
    <t>這個陳述是**對的**（判斷題應填 **`O`**）。
這段陳述完全符合選擇權 (Options) 的底層財務學理與核心定義：
### 1. 權利與義務的本質差異
* **選擇權 (Options) 是典型的「權利合約」**：除了選擇權之外，其他多數衍生性金融商品（如期貨 Futures、遠期契約 Forwards、交換契約 Swaps 等），不論對買方或賣方，多數情況下皆為雙方必須履行的**「義務」**。
* **買權 (Call Option) 持有者擁有權利**：買方在支付了權利金 (Premium) 之後，獲得的是**「要不要履約的決定權」**，而不需要承擔必須買入的義務。相較之下，賣方（對手方）只有在買方要求執行時，才承擔履行的義務。
---
### 2. 「有利時才會執行」的財務決策
* **財務上「有利」的定義**：在財務與投資學理中，「有利」意指該項決策能否帶來**「價值的增加」**。對買權持有者而言，當標的資產的市價 ($S$) **大於**合約約定的執行價格 ($K$) 時（即 $S &gt; K$），執行買權可以獲得正的報償 (Payoff)，此時買方便會選擇執行。
* **無利則放棄（風險鎖定）**：如果市場價格低於或等於執行價格 ($S \le K$)，執行反而會造成損失，此時買方可以選擇**不執行**，讓合約到期作廢。此時買方的最大損失僅限於期初付出的權利金，而不會面臨像期貨或放空那樣無限大的損失風險。
### 結論
買權（買入選擇權）賦予買方在未來特定時間以約定價格買入標的資產的「權利」而非「義務」，因此買方只有在市場價格有利時才會選擇執行。本題陳述完全正確。</t>
  </si>
  <si>
    <t>淨營運資金的變動是屬於 &lt;span style="color: red; text-decoration: underline;"&gt; 投資活動 &lt;/span&gt; 的現金流量</t>
  </si>
  <si>
    <t>這個陳述是**對的**（判斷題應填 **`O`**）。
這題考的是在資本預算決策 (Capital Budgeting) 中，關於**「淨營運資金 (Net Working Capital, NWC) 變動」之現金流量歸屬**的核心學理定義。
以下為您詳細拆解其財務邏輯與分類原則：
---
### 1. 為什麼淨營運資金變動是「投資活動」而非「營運活動」？
* **資金佔用與資產增加的本質**：
  淨營運資金 ($NWC$) 代表專案營運時，企業必須投入在存貨（原物料、在製品、製成品）與應收帳款等流動資產，並扣除應付帳款等自發性流動負債後的淨資金需求。
  當專案啟動或營運規模擴大時，企業必須將實質資金投入並積壓在這些營運資產上。在財務管理學理中，**資產的增加代表資金的佔用與投入 (Use of Funds)，其本質屬於「投資活動」**。
* **短期資產與長期資產的對稱性**：
  不論是添購廠房設備（長期資本支出, CAPEX）或是投入營運資金（短期流動資產），兩者皆是為了讓專案順利運轉而將資源配置於資產端。添購設備屬於投資活動，為了支持營運而額外追加的營運資金佔用，同樣屬於**專案的投資活動現金流出**。
---
### 2. 避免直覺名詞陷阱
在資本預算評估中，容易產生以下直覺誤區：
* **常見迷思**：因名詞中含有「營運 (Working)」二字，容易被直覺誤認為是「營運現金流量 ($OCF$)」的一環。
* **學理定位**：營運現金流量 ($OCF$) 衡量的是專案直接產生的營運獲利與折舊稅盾效益；而**淨營運資金變動 ($\Delta NWC$) 則是專案各期在資產端所追加或回收的資本投入**，故在自由現金流量公式中，與資本支出 (CAPEX) 同屬「投資活動」範疇：
  $$\text{自由現金流量 (FCF)} = OCF - \text{CAPEX} - \Delta NWC$$
---
### 結論
在專案與資本預算評估中，**淨營運資金的需求與各期變動 ($\Delta NWC$) 在學理定義上屬於專案的「投資活動」現金流量**，原陳述完全正確。</t>
  </si>
  <si>
    <t>X, 資產負債表為存量，損益表與現流表為流量</t>
  </si>
  <si>
    <t>財務三大報表中，資產負債表及損益表是 &lt;span style="color: red; text-decoration: underline;"&gt;存量概念&lt;/span&gt;，現金流量表為 &lt;span style="color: red; text-decoration: underline;"&gt;流量概念&lt;/span&gt;。</t>
  </si>
  <si>
    <t>O, PV=0, PI=1 都顯示計畫沒有賺賠</t>
  </si>
  <si>
    <t>當淨現值等於 0 時，獲利指數法的值一定 &lt;span style="color: red; text-decoration: underline;"&gt; 等於 1 &lt;/span&gt;</t>
  </si>
  <si>
    <t>這個陳述是**對的**（判斷題應填 **`O`**）。
這完美呼應了資本預算的核心觀念：在資本預算中，**淨現值 (NPV) 與獲利指數 (PI) 具有完全一致的決策關聯性**。
### 財務數學的絕對證明
我們列出兩者的公式來對照：
* **淨現值 (NPV)**：
$$NPV = \text{未來現金流入現值} - \text{期初投資金額}$$
* **獲利指數 (PI)**：
$$PI = \frac{\text{未來現金流入現值}}{\text{期初投資金額}}$$
當 **$NPV = 0$** 時：
1. 根據 NPV 公式，$\text{未來現金流入現值} - \text{期初投資金額} = 0$，這代表：
$$\text{未來現金流入現值} = \text{期初投資金額}$$
（也就是說，未來收回來的錢折現後，剛好與當初投下去的成本「打平」）。
2. 此時我們將這個等式代入 PI 公式中，因為分子（未來流入現值）剛好等於分母（期初投資金額），兩者相除：
$$PI = \frac{\text{期初投資金額}}{\text{期初投資金額}} = 1$$
### 結論
因此，**當淨現值 (NPV) 剛好為 0 時，獲利指數 (PI) 的值必定等於 1**。這代表該計畫不賺不賠，剛好能滿足投資人所要求的折現率（要求報酬率）。本題陳述完全正確。</t>
  </si>
  <si>
    <t>O, 實質利率(約略)=名目利率-通貨膨脹率→移項得到 名目利率(約略)=實質利率加上通貨膨脹率</t>
  </si>
  <si>
    <t>費雪效果定義了實質利率、通貨膨脹率及名目利率間的關係，故 &lt;span style="color: red; text-decoration: underline;"&gt; 名目利率略等於實質 利率加上通貨膨脹率 &lt;/span&gt;</t>
  </si>
  <si>
    <t>這個陳述是**對的**（判斷題應填 **`O`**）。
### 1. 核心財務學理：名目、實質利率與通膨的關係
在財務管理與投資學中，名目利率、實質利率與通膨率之間的關係定義如下：
* **名目利率 (Nominal Interest Rate)**：也就是我們在銀行或市場上實際看到的利率 $R$。
* **實質利率 (Real Interest Rate)**：代表扣除通貨膨脹影響後，投資人真正能享受或增加的實際購買力 $r$（例如：今年存下一筆錢可以買一個麵包，希望明年延遲消費後能變成可以買 1.1 個麵包）。
* **通膨率 (Inflation Rate)**：代表物價上漲與貨幣購買力衰退的幅度 $h$。
* **關係公式**：名目利率大約等於**實質利率加上通膨率**。
---
### 2. 實務與數據範例說明
我們可以透過具體數據來直觀理解這個關係：
* **正常情況下的算式**：如果市場上的**實質利率為 2%**，而預估的**通膨率為 5%**，則投資人要求反映在市場上的**名目利率就會是 7%**（$7\% \approx 2\% + 5\%$）。
* **實質利率為負的情況**：當市場上的定存名目利率為 1.5%，但實際通膨率達 2.5% 時，根據「名目利率 $=$ 實質利率 $+$ 通膨率」的關係，**實質利率就會變成 $-1\%$**（代表錢存銀行越存購買力越薄，實質財富縮水）。
---
### 3. 費雪效果 (Fisher Effect) 數學推導
這項關係在財務學上即為經典的**「費雪效果 (Fisher Effect)」**：
精確的費雪公式為：
$$1 + R = (1 + r)(1 + h)$$
將右式展開後：
$$1 + R = 1 + r + h + (r \times h)$$
等號兩邊扣掉 1：
$$R = r + h + (r \times h)$$
當利率與通膨率數值不大時，交叉乘項 $r \times h$（例如 $2\% \times 5\% = 0.1\%$）數值極小可以忽略不計，因此可近似簡化為：
$$R \approx r + h$$
### 結論
名目利率大約等於實質利率加上通貨膨脹率，這完全符合費雪效果的公式與財務學理。本題陳述完全正確。</t>
  </si>
  <si>
    <t>O, IRR 決策準則: IRR&gt;R(要求報酬率)，因此此時 NPV 為正</t>
  </si>
  <si>
    <t>在其他條件不變下，若要求報酬率小於 IRR，則 NPV &lt;span style="color: red; text-decoration: underline;"&gt;大於 &lt;/span&gt;零</t>
  </si>
  <si>
    <t>這個陳述是**對的**（判斷題應填 **`O`**）。
### 1. 核心財務邏輯：內部報酬率 (IRR) 與淨現值 (NPV) 的關係
* **內部報酬率 (IRR) 的定義**：在學理上，IRR 指的是**「使淨現值 (NPV) 剛好等於零的折現率（要求報酬率）」**。
* **折現率與 NPV 的反向關係**：對於一般型（期初現金流出，未來各期現金流入）的專案而言，隨著我們使用的折現率（要求報酬率）愈高，未來各期收回的現金流量折回現在時，被打折的幅度就愈大，因此計算出來的淨現值 (NPV) 就會愈低。
---
### 2. 為什麼要求報酬率小於 IRR 時，NPV 一定大於零？
我們可以從決策臨界點與折現原理來直觀理解：
1. **損益兩平臨界點**：當要求的報酬率（折現率）**剛好等於 IRR** 時，專案的折現回收金額剛好等於期初投入成本，即 $NPV = 0$。
2. **折現率降低的影響**：當要求的報酬率**小於 IRR** 時（例如要求報酬率 10% &lt; IRR 15.67%），由於折現率低於損益兩平點，未來現金流折現時被打折的幅度變小，未來的回收現值將會大於期初投入，因此**淨現值 ($NPV$) 就一定大於零 ($NPV &gt; 0$)**。
3. **折現率升高的影響**：相反地，如果要求的報酬率**大於 IRR**（例如 20% &gt; 15.67%），打折過重，未來的回收現值小於期初成本，$NPV$ 就會變成負數 ($NPV &lt; 0$)。
---
### 3. 決策判讀法則的等價性
這正是為什麼「內部報酬率法 (IRR Rule)」的決策準則為：**當 $IRR &gt; \text{要求報酬率}$ 時，專案即值得投資**。因為這在財務學理上完全等同於**「在該要求報酬率下，專案能為公司創造正的淨現值 ($NPV &gt; 0$)」**。
### 結論
在常規型現金流（期初流出、未來流入）的情況下，**若要求報酬率小於 IRR，代表實際折現率低於損益兩平點，因此 NPV 必定大於零**。本題陳述完全正確。</t>
  </si>
  <si>
    <t>X, 互斥案</t>
  </si>
  <si>
    <t>公司一條生產線已老舊不堪用，市場上新一代生產設備有兩種型式，公司準備在兩種 型式中挑選一種，此投資計畫案評估屬於&lt;span style="color: red; text-decoration: underline;"&gt;獨立案&lt;/span&gt;。</t>
  </si>
  <si>
    <t>這個陳述是**錯的**（判斷題應填 **`X`**）。
### 1. 核心財務觀念：獨立案與互斥案的定義
根據財務管理的資本預算 (Capital Budgeting) 決策學理，投資計畫依其決策之間的關聯性，主要分為以下兩類：
* **獨立案 (Independent Projects)**：
* **定義**：指各個計畫之間**互不影響**。是否接受某個計畫，是獨立進行評估，與其他計畫無關。
* **特徵**：在資金充裕的前提下，只要各計畫自己符合財務可行性（例如淨現值 $NPV &gt; 0$），公司可以**同時接受多個計畫**。
* **互斥案 (Mutually Exclusive Projects)**：
* **定義**：指多個計畫之間具有**排他性**。一旦選擇了其中一個計畫，就無法（或不需要）再選擇其他計畫。
* **特徵**：這屬於「二選一」或「多選一」的決策。「選了一個案子就沒有另外一個案子」，兩者無法共存。
---
### 2. 為什麼本題屬於「互斥案」而非「獨立案」？
本題的情境為：
1. 公司的一條舊生產線老舊不堪用。
2. 市場上有**「兩種型式」**的新一代生產設備。
3. 公司準備在兩種型式中**「挑選一種」**。
因為這兩種設備是用來服務「同一個生產目的」，且公司最終只能**擇一安裝**（選了型式 A 就不會也無法再安裝型式 B）。這種「選了一個案子就排斥掉另一個案子」的決策，在財務管理中是極為標準的**互斥案 (Mutually Exclusive Projects)**。
---
### 💡 決策判讀直覺速記
* **獨立案**：如果計畫 A 的執行，完全不影響計畫 B 的執行，且兩者可以同時接受（如：同時投資拓點台南門市與研發新軟體），則為獨立案。
* **互斥案**：如果計畫 A 與計畫 B 競逐相同的資源、土地或生產目的（如：同塊土地要蓋廠房還是蓋飯店，或在兩種型式設備中挑選一種），則為互斥案。
### 結論
在兩種設備型式中挑選一種的更換決策，是典型的**互斥案**。原題所述之「獨立案」在財務學理上是錯誤的。</t>
  </si>
  <si>
    <t>X, 須計入。機會成本屬於新增現金流量</t>
  </si>
  <si>
    <t>進行計畫現金流量估計時，機會成本 &lt;span style="color: red; text-decoration: underline;"&gt;不須計入 &lt;/span&gt;</t>
  </si>
  <si>
    <t>這個陳述是**錯的**（判斷題應填 **`X`**）。
在進行計畫（或專案）現金流量估計時，**機會成本 (Opportunity Cost)「必須」計入**，否則會導致嚴重的評估偏誤，甚至做出錯誤的投資決策。
以下為您詳述其財務學理與核心邏輯：
### 1. 核心財務原則：增量現金流量 (Incremental Cash Flows)
在財務管理中，評估投資專案時，我們奉行的唯一真理是**「增量現金流量原則」**，即只關心「因為做了這項決策，而『新增加』的現金流出與流入」。
* **決策的判讀關鍵**：我們必須自問「做與不做這個專案，對公司的現金流量會產生什麼樣的實質改變？」。
---
### 2. 為什麼機會成本「一定要計入」？
* **學理解析**：機會成本是指「當我們把資源（如現有的土地、廠房、資金或人力）投入此計畫時，所**放棄的其他次優選擇能帶來的最大淨收益（或現金流入）**」。
* **實例解析（土地資本配置）**：
假設公司擁有一塊現有土地，正評估是否要在此土地上興建新廠房。
* 如果**不蓋新廠**：這塊地在市場上**可以立刻以 1,000 萬賣掉**（或出租），公司能獲得 1,000 萬的現金流入。
* 如果**決定蓋新廠**：因為土地被占用，公司就**無法將地賣掉**，等於「少收了 1,000 萬的現金」。
* **結論**：這筆「因為蓋廠而少收的 1,000 萬」，在財務估計上**必須列為一筆 1,000 萬的機會成本（視為期初現金流出）**。
---
### 💡 考前必背：機會成本 vs. 沉沒成本 (Sunk Cost) 的經典對比
這兩者在考試中是極容易被混淆的對比考點，請牢記其差別：
| 風險/成本類型 | 做與不做專案是否有差 | 財務處理準則 | 典型實務案例 |
| :--- | :--- | :--- | :--- |
| **機會成本** &lt;br&gt; (Opportunity Cost) | **有差** &lt;br&gt; *(做了就少拿這筆錢)* | **必須計入** &lt;br&gt; *(視為期初現金流出)* | 現有的廠房或土地。若不做計畫可以賣掉 15 萬，做了就不能賣，15 萬即為機會成本。 |
| **沉沒成本** &lt;br&gt; (Sunk Cost) | **沒差** &lt;br&gt; *(不論做不做這筆錢都拿不回)* | **絕對不計入** &lt;br&gt; *(與當前決策無關)* | 已經花費的市場調查費 25 萬。因為無論專案是否執行，25 萬都已付出且無法退費。 |
### 結論
在進行計畫現金流量評估時，因為使用現有資產會使公司喪失處分或出租該資產的機會，這屬於決策攸關的實質現金流變動。所以，**機會成本不須計入的說法是完全錯誤的，它必須列入期初成本（現金流出）中**。</t>
  </si>
  <si>
    <t>專案增量現金流量與相關成本</t>
  </si>
  <si>
    <t>X, 以固定成長模型來評估股價時，當 (R-g) 愈大，則價值 愈大</t>
  </si>
  <si>
    <t>以固定成長模型來評估股價時，當 (R-g) 愈大，則價值 &lt;span style="color: red; text-decoration: underline;"&gt;愈大 &lt;/span&gt;</t>
  </si>
  <si>
    <t>這個陳述是**錯的**（判斷題應填 **`X`**）。
這可以透過**「高登股利折現模型 (Gordon Growth Model)」**的公式與折現邏輯直接驗證：
### 1. 財務數學公式的直接推導
固定成長股利折現模型的公式為：
$$P_0 = \frac{D_1}{R - g}$$
在這個公式中：
* $D_1$ 是下一期的預期股利（分子）。
* **$(R - g)$ 是「要求報酬率」與「股利固定成長率」的差額，位於公式的「分母」**。
在數學結構上：
* 當分母 **$(R - g)$ 愈大**時，在分子 $D_1$ 固定不變的前提下，相除出來的數值（即股票價格 $P_0$）必然會**愈小（減少）**。
* 相反地，只有當 $(R - g)$ 愈小（分母縮小）時，股票價值才會愈大。
---
### 2. 符合實務的財務直覺
我們也可以從這兩個變數變動的實際財務意義來思考，為什麼 $(R - g)$ 變大時價值會變低：
1. **當要求報酬率 $R$ 上升（風險增加）**：
代表投資人認為該股票的風險變高，因此要求更高的風險貼水。這會導致 $(R - g)$ 變大。因為折現率變高，未來現金流被打折得更厲害，**股價隨之下跌**。
2. **當股利成長率 $g$ 下降（前景轉差）**：
代表公司未來的獲利與股利成長動能衰退。這同樣會導致 $(R - g)$ 變大。因為未來的成長預期變差，**股票的估值隨之萎縮**。
### 結論
不論是從數學公式的分母位置，還是從「風險上升、成長下降」的財務直覺來看，**當 $(R - g)$ 愈大時，股票的估值（價值）皆會「愈小」**。因此，原陳述為錯誤。</t>
  </si>
  <si>
    <t>X, 財務槓桿</t>
  </si>
  <si>
    <t>負債比重越高的企業，則其 &lt;span style="color: red; text-decoration: underline;"&gt;營運槓桿 &lt;/span&gt; 也會比較高</t>
  </si>
  <si>
    <t>這個陳述是**錯的**（判斷題應填 **`X`**）。
這題考的是財務管理中最基礎但也最容易混淆的**「營運槓桿 (Operating Leverage)」與「財務槓桿 (Financial Leverage)」**兩者定義的區別。這兩個槓桿在學理上是獨立的概念，分別來自於資產負債表的左半部（資產結構）與右半部（資本結構）。
---
### 1. 負債比重影響的是「財務槓桿 (Financial Leverage)」而非營運槓桿
* **財務槓桿的本質**：財務槓桿是指企業在選擇融資的架構上，**借貸（舉債）的比例高低**。
* **固定費用與風險**：當企業的**負債比重愈高**時，每期必須支付的**固定利息費用**就會愈大。在營收波動時，這會放大稅前淨利與每股盈餘 (EPS) 的變動幅度，進而增加公司「支付不能 (Insolvency)」的**財務風險 (Financial Risk)**。
---
### 2. 營運槓桿 (Operating Leverage) 是由「成本結構」所決定的
* **營運槓桿的本質**：營運槓桿與公司有沒有借錢無關，而是取決於企業在生產營運上的**成本結構（固定成本與變動成本的佔比關係）**。
* **固定費用與風險**：當企業投資於重資產（如購置機器設備、廠房等固定資產），會產生龐大且不隨營收變動的**固定折舊與攤銷費用**。一旦固定成本佔比極高，營運槓桿就會隨之拉高，使得營收只要有微小變動，營業利益 (EBIT) 與營運現金流就會產生劇烈起伏，這反映的是**營運風險 (Operating Risk)**。
---
### 💡 財管核心對比：兩大槓桿之差異
| 槓桿類型 | 決定來源 | 核心固定費用 | 反映的風險 | 對應的財務決策 |
| :--- | :--- | :--- | :--- | :--- |
| **營運槓桿** &lt;br&gt; (Operating) | **資產結構** &lt;br&gt; (固定成本 vs. 變動成本) | **折舊與攤銷** &lt;br&gt; (非流動資產折舊) | **營運風險** &lt;br&gt; (營業利益的波動) | **投資決策** &lt;br&gt; (買設備、建廠房) |
| **財務槓桿** &lt;br&gt; (Financial) | **資本結構** &lt;br&gt; (負債比重、債權比例) | **利息費用** &lt;br&gt; (融資成本支出) | **財務風險** &lt;br&gt; (支付不能/破產機率) | **融資決策** &lt;br&gt; (舉債或發行新股) |
### 結論
負債比重高的企業，其**「財務槓桿」**會比較高；而**「營運槓桿」**則取決於企業內部的固定折舊與成本結構，與是否舉債無直接關係。因此，原敘述將兩者混為一談是錯誤的。</t>
  </si>
  <si>
    <t>X, 45。平均存貨天數=現金循環天數-平均應收天數+平均應付天數→55-25+15=45</t>
  </si>
  <si>
    <t>若草莓公司的現金循環天數為 55 天，平均應收帳款天數為 25 天，平均應付帳款天數 為 15 天，則平均存貨天數為 &lt;span style="color: red; text-decoration: underline;"&gt; 20 &lt;/span&gt; 天</t>
  </si>
  <si>
    <t>這個陳述是**錯的**（判斷題應填 **`X`**）。
這題考的是**營運資金管理核心指標——「現金循環天數 (Cash Conversion Cycle, CCC)」**的公式計算。
我們可以透過實際代入公式，輕鬆驗證正確的答案：
### 1. 核心財務公式
$$\text{現金循環天數 (CCC)} = \text{平均存貨天數} + \text{平均應收帳款天數} - \text{平均應付帳款天數}$$
---
### 2. 實際數值代入與計算
根據題目提供的數據：
* **現金循環天數 (CCC)** = 55 天
* **平均應收帳款天數** = 25 天
* **平均應付帳款天數** = 15 天
我們將這些數值帶入公式中：
$$55 = \text{平均存貨天數} + 25 - 15$$
$$55 = \text{平均存貨天數} + 10$$
$$\text{平均存貨天數} = 55 - 10 = \mathbf{45} \text{ 天}$$
這代表草莓公司從買進原材料、存放在倉庫、一直到製造並賣出產品，平均需要 **45 天**，而非題目所說的 20 天。
---
### 3. 反向驗證
如果平均存貨天數真的如題目所述為 20 天，那麼草莓公司的現金循環天數將會是：
$$\text{CCC} = 20 + 25 - 15 = \mathbf{30} \text{ 天}$$
這與題目已知條件「55 天」不符，再次證明原敘述在數學與財務邏輯上皆是錯誤的。
### 結論
草莓公司的**平均存貨天數應為 45 天**，原陳述所算出的 20 天是錯誤的。</t>
  </si>
  <si>
    <t>X, 公司或計劃價值。 EBITDA 實務常用來取代 OCF</t>
  </si>
  <si>
    <t>以公司 EBITDA 為現金流量所估計出的價值為公司的 &lt;span style="color: red; text-decoration: underline;"&gt; 權益&lt;/span&gt; 價值。</t>
  </si>
  <si>
    <t>這個陳述是**錯的**（判斷題應填 **`X`**）。
### 1. 核心財務與評價學理：企業價值 vs. 權益價值
在公司理財與企業評價 (Valuation) 中，我們必須嚴格區分**「企業整體價值 (Enterprise Value, EV，或稱資產價值)」**與**「權益價值 (Equity Value，或稱股權價值)」**，這兩者的底層現金流邏輯有著本質上的不同：
* **EBITDA 屬於「全體出資人」的現金流**：
* EBITDA 的定義是 **Earnings Before Interest, Taxes, Depreciation, and Amortization（息稅折舊攤銷前盈餘）**。它是扣除**利息 (Interest)** 與**所得稅 (Taxes)** 之前的營業利潤，再加上不需支付現金的折舊與攤銷。
* 因為它**尚未扣除利息**，代表這筆營運資金尚未分配給債權人（債權人拿走利息與本金後，剩下的才歸股東）。
* 因此，EBITDA 是屬於**「全體出資人」（同時包含債權人與股東）**共同擁有的營運現金流量。
* **以 EBITDA 估算出的價值是「企業價值 (EV)」**：
* 既然 EBITDA 屬於全體出資人，以此現金流量或評價乘數（如實務上最常比來比去的 **EV/EBITDA 倍數法**）估算出來的，必然是公司的**「企業整體價值 (Enterprise Value)」**，而非單純的「權益價值」。
---
### 2. 如何從 EBITDA 轉換為「權益價值 (Equity Value)」？
如果已經用 EBITDA 估算出公司的**企業價值 (EV)**，要得到股東所享有的**權益（股權）價值**，必須進行以下扣除步驟：
$$\text{權益價值 (Equity Value)} = \text{企業價值 (Enterprise Value)} - \text{負債 (Debt)} + \text{現金 (Cash)}$$
在企業評價實務中，專業機構正是利用同業的 **EV/EBITDA 估值倍數**，算出事業體的**企業整體營運價值**，再進一步扣除債權人的債務要求權並加回剩餘現金，才計算出真正的**股東權益價值**。
---
### 3. 兩種現金流與估值觀點的經典對照
| 評估觀點 | 採用之現金流基礎 | 是否扣除利息？ | 估計出的價值結果 | 對應的折現率 ($R$) |
| :--- | :--- | :--- | :--- | :--- |
| **資產/計畫觀點** &lt;br&gt; (Project/Asset View) | **EBITDA / OCF / FCFF** &lt;br&gt; (屬於全體出資人之現金流) | 🔴 **不扣除利息** &lt;br&gt; *(債權人尚未分拿)* | **企業整體價值** &lt;br&gt; (Enterprise Value / 資產價值) | **$R_a$ (WACC)** &lt;br&gt; (資產資金成本) |
| **股權/權益觀點** &lt;br&gt; (Equity/Shareholder View) | **FCFE / 淨利 / 股利** &lt;br&gt; (屬於股東之剩餘現金流) | 🟢 **必須扣除利息與本金** &lt;br&gt; *(已清償債權人份額)* | **權益價值** &lt;br&gt; (Equity Value / 股權價值) | **$R_e$ (CAPM)** &lt;br&gt; (股東要求報酬率) |
### 結論
以公司 EBITDA 為現金流量所估計出的價值，是包含債權人與股東權益在內的**「企業整體價值 (Enterprise Value)」**；必須再**扣除負債（債權人價值）並加回現金**後，剩下的餘額才是公司的**「權益（股權）價值」**。</t>
  </si>
  <si>
    <t>X, NPV 並不會有因現金流量時點不同的錯誤問題</t>
  </si>
  <si>
    <t>在互斥案條件下，當現金流量的時點不同時，IRR(內部報酬率法)及 NPV(淨現值法) &lt;span style="color: red; text-decoration: underline;"&gt; 均可能&lt;/span&gt; 造成錯誤決策</t>
  </si>
  <si>
    <t>這個陳述是**錯的**（判斷題應填 **`X`**）。
在財務管理的互斥專案評估中，當現金流量的時點 (Timing) 或型態 (Pattern) 不同時，**只有 IRR（內部報酬率法）可能會引導至錯誤的決策，而 NPV（淨現值法）理論上絕不會出錯，它始終是判斷價值創造的「黃金標準」**。
以下為您詳述其財務學理解析與決策邏輯：
---
### 1. 為什麼 NPV（淨現值法）不會造成錯誤決策？
* **價值極大化原則 (Value Maximization)**：企業財務管理的終極目標是追求股東價值的極大化。NPV 所計算的是專案為公司創造的**絕對金額價值**（即實際能多賺多少錢的折現現值）。
* **無缺陷的黃金標準**：不論專案規模大小、不論現金流量進來的時點早或晚，NPV 都是最安全、在理論上最完美的指標。因此，**當互斥專案的評估結果產生衝突時，決策必須無條件以「淨現值最大（NPV 最大）」的專案為最終選擇**。
---
### 2. 為什麼 IRR（內部報酬率）會在時點不同時出錯？
當兩個互斥專案的現金流量時點不同（例如：專案 A 的回收極快，集中在第一、二年；專案 B 則是放長線，大筆回收集中在第四、五年）時，IRR 會面臨以下兩大理論漏洞而導致錯誤決策：
1. **再投資報酬率假設的漏洞 (Reinvestment Rate Assumption)**：
* **IRR 的不切實際假設**：IRR 假設專案中途回收的每一筆現金，都必須能立刻以**「等同於該 IRR 的高利率」**在市場上進行再投資。例如算出的 IRR 為 35%，就必須假設未來中途收回的每一分錢，都能繼續拿去投到賺 35% 的地方，這在現實中極為困難。
* **NPV 的合理假設**：NPV 則是假設中途回收的現金流，是以**「公司要求的資金成本（折現率 R）」**進行再投資，這完全符合金融市場的現實情況。
2. **淨現值曲線相交與「交叉率 (Crossover Rate)」**：
* 當兩專案的回收時點差異過大時，兩者的 NPV 曲線斜率會不同，並在某個折現率相交（稱為**交叉率**）。
* 當公司實際的要求報酬率（資金成本）**小於交叉率**時，回收時點偏後的專案 B 實際上能為公司創造**更高的淨現值 ($NPV$)**。
* 然而，因為專案 A 回收快，其計算出來的 **IRR 比例可能會高於專案 B**。如果此時盲目相信 IRR 而選擇 IRR 較高的專案 A，就會**少賺許多淨現值**，這就是 IRR 造成的「錯誤決策」。
---
### 💡 考前決策衝突總整理（互斥專案下）
| 專案特徵差異 | IRR 決策表現 | NPV 決策表現 | 兩者衝突時之終極決策依據 |
| :--- | :--- | :--- | :--- |
| **規模不同** &lt;br&gt; (Scale Difference) | 🔴 **易出錯** &lt;br&gt; (傾向推薦規模小但比例高的專案) | 🟢 **絕對正確** &lt;br&gt; (鎖定創造最多絕對金額價值的專案) | **以 NPV 最大者為準** |
| **時點/型態不同** &lt;br&gt; (Timing/Pattern Difference) | 🔴 **易出錯** &lt;br&gt; (受再投資率漏洞與交叉率影響) | 🟢 **絕對正確** &lt;br&gt; (正確反映資金時間價值與再投資現實) | **以 NPV 最大者為準** |
### 結論
在互斥案且現金流量時點不同的情況下，**IRR 確實可能因為理論漏洞而造成錯誤的選擇；但 NPV 在任何情況下皆能正確指引出能為股東創造最大價值的專案，絕不會造成錯誤決策**。因此，原陳述說「兩者均可能造成錯誤決策」是不正確的。</t>
  </si>
  <si>
    <t>X, 固定資產(正常的環境裡，投資決策就用在可以產生營運現金流量的部位，也就是固定資產(長期)</t>
  </si>
  <si>
    <t>在公司理財中，「資本預算決策」與「融資決策」分別指公司應投資何種 &lt;span style="color: red; text-decoration: underline;"&gt; 流動資產&lt;/span&gt; 及滿足該投資下之籌資需求</t>
  </si>
  <si>
    <t>這個陳述是**錯的**（判斷題應填 **`X`**）。
這題考的是公司理財 (Corporate Finance) 中，最核心的**「四大財務決策」**（投資、融資、營運資金、股利政策）之範疇與名詞定義。原陳述將「資本預算」對應到「流動資產」在財務學理上是完全不對的。
以下為您進行精確的財務學理解析：
---
### 1. 資本預算決策 (Capital Budgeting) 專指「長期 / 固定資產」
在公司理財中，**「資本預算決策」**（或稱長期投資決策）是指公司評估與決定應投資在何種**「長期資產（或稱固定資產）」**上。
* **長期與資本化特徵**：這類資產（如購買土地、興建廠房、添購大型機器設備，或是取得專利權與特許權等）投入資金後，其所能創造的效益與現金流量**必須超過一年以上**。
* **非流動性**：這些支出在會計上會被予以「資本化」並記錄在非流動資產科目中，並於未來年度陸續提列折舊或攤銷。
### 2. 投資「流動資產」屬於「營運資金管理 (Working Capital Management)」
公司投資在**「流動資產」**（如存貨、應收帳款、現金與約當現金等一年內會變現或消耗的資產）上的決策，在財務管理中屬於**「營運資金管理決策」**的範疇，並不屬於資本預算。
* **營運資金管理 (Working Capital Management)** 關心的是日常營運的短期資金調度，確保公司不會因為存貨或帳款積壓而發生「週轉不靈（支付不能）」的流動性危機。
### 3. 融資決策 (Financing Decision) 的正確定義
題目後半段關於**「融資決策」**（又稱資本結構決策）的描述則是正確的——它是指公司決定如何籌集長期資金，以滿足上述投資計畫所需的籌資需求。
* 這牽涉到決定企業的**「資本結構 (Capital Structure)」**，即決定舉債 (Debt) 與股權資金 (Equity) 的黃金加權比例 (WACC)，以使公司的整體價值極大化。
* 但由於本題為結合兩概念的「分別指」陳述，前半段關於資本預算決策的描述是錯誤的，因此整體陳述仍為錯誤。
---
### 💡 考前對比：公司理財四大財務決策結構
為了在考試中快速判讀、不被混淆，請牢記這張由資產負債表 (B/S) 結構延伸出的決策對照圖：
| 決策類型 | 對應資產負債表位置 | 核心評估與管理項目 | 效益期間 |
| :--- | :--- | :--- | :--- |
| **投資決策（資本預算）** &lt;br&gt; (Capital Budgeting) | **非流動資產** | 購買機器設備、廠房建置、土地、專利特許權等。 | **長期** &lt;br&gt; (超過一年) |
| **融資決策（資本結構）** &lt;br&gt; (Financing Decision) | **非流動負債 &amp; 權益** | 決定舉債比重、向銀行借款、發行公司債、現金增資等。 | **長期** &lt;br&gt; (結構性融資) |
| **營運資金管理決策** &lt;br&gt; (Working Capital Management) | **流動資產 &amp; 流動負債** | 管理每日的應收帳款、存貨週轉、應付帳款等營運資金。 | **短期** &lt;br&gt; (一年以內變動) |
| **股利政策** &lt;br&gt; (Dividend Policy) | **保留盈餘 &amp; 現金發放** | 決定賺得的盈餘應有多少比例發放現金股利，或留在內部再投資。 | **分配決策** |
### 結論
「資本預算決策」是指公司投資何種**長期資產/固定資產**，而非流動資產。因此，本題陳述為錯誤。</t>
  </si>
  <si>
    <t>財務管理四大核心決策與金融環境</t>
  </si>
  <si>
    <t>X, 敏感度分析</t>
  </si>
  <si>
    <t>進行投資決策時，&lt;span style="color: red; text-decoration: underline;"&gt; 情境分析&lt;/span&gt; 每次僅考慮單一變數的變動對投資可行性的影響，以協 助瞭解影響投資計畫成敗的關鍵變數</t>
  </si>
  <si>
    <t>這個陳述是**錯的**（判斷題應填 **`X`**）。
這題考的是資本預算中，評估投資計畫風險時最常使用的兩種分析工具——**「敏感度分析 (Sensitivity Analysis)」**與**「情境分析 (Scenario Analysis)」**的觀念辨析。題目將兩者的定義混淆了。
以下為您進行詳細的財務學理解析與區分：
### 1. 每次僅變動一個變數的是：敏感度分析 (Sensitivity Analysis)
* **定義**：在評估投資計畫時，**每次僅考慮單一變數的變動**，而維持其他所有變數不變，用以觀察該變數的波動對專案淨現值 ($NPV$) 或內部報酬率 ($IRR$) 的衝擊。
* **目的**：這項分析的終極目的是為了幫決策者在眾多變數中，找出哪一個變數的變動對專案成敗影響最敏感，也就是**尋找「最關鍵的價值驅動變數」**（例如：銷量下滑 10% 會讓 $NPV$ 產生最劇烈的滑落）。
---
### 2. 多個變數同時變動的是：情境分析 (Scenario Analysis)
* **定義**：在真實世界中，外在事件的發生往往會觸發連鎖反應，不會只有單一變數在變，而是**「一整群變數同時發生變動」**。
* **做法**：情境分析是設定一個特定的未來情境（例如：景氣繁榮、平穩或嚴重衰退）。在此情境下，市場規模、銷售單價、變動成本等多個變數會**同時且具有聯動性地變動**，我們去評估這些變數同時變動後的**綜合效果**，觀察公司在最壞情境（Worst Case）下是否依然能夠存活。
---
### 💡 考前必考對比表：敏感度分析 vs. 情境分析
| 分析工具 | 變數動態 | 核心目的 | 實務評估重點 |
| :--- | :--- | :--- | :--- |
| **敏感度分析** &lt;br&gt; (Sensitivity Analysis) | 🔴 **一次只變動一個** &lt;br&gt; (其他變數維持不動) | **揪出專案的關鍵死穴** &lt;br&gt; (看哪個變數對 $NPV$ 的敏感度最高) | 測試當其他預估不變時，單純「市場規模」或「市佔率」下滑對 $NPV$ 的打擊幅度。 |
| **情境分析** &lt;br&gt; (Scenario Analysis) | 🟢 **多個變數同時、聯動變動** | **評估極端情境下的存活機率** &lt;br&gt; (看最差或最好情境下的總效果) | 測試當宏觀經濟衰退時，連帶引發需求下降、單價下滑、材料成本攀升的「悲觀情境總效果」。 |
### 結論
每次僅變動一個變數以協助瞭解關鍵影響因子的是**「敏感度分析」**；而**「情境分析」**則是同時變動多個變數來觀察特定情境的總效果。因此，本題陳述是錯誤的。</t>
  </si>
  <si>
    <t>5_資本支出預算決策_情境分析</t>
  </si>
  <si>
    <t>專案風險分析(敏感度與情境分析)</t>
  </si>
  <si>
    <t>X, 提高(增加)。</t>
  </si>
  <si>
    <t>若其他條件不變，當現金循環越短，公司的存貨與應收帳款就會越少，且總資產周轉 率將 &lt;span style="color: red; text-decoration: underline;"&gt; 降低&lt;/span&gt; 。</t>
  </si>
  <si>
    <t>這個陳述是**錯的**（判斷題應填 **`X`**）。
這題考的是營運資金管理中**「現金循環 (Cash Conversion Cycle, CCC)」**與財務比率中**「總資產周轉率 (Total Asset Turnover)」**的連鎖邏輯關係。
我們可以將題目拆解為前後兩半部，用嚴謹的財務公式來拆解：
### 1. 前半段（正確）：當現金循環越短，公司的存貨與應收帳款越少
根據**現金循環 (CCC)** 的公式：
$$\text{現金循環 (CCC)} = \text{平均存貨天數} + \text{平均應收帳款天數} - \text{平均應付帳款天數}$$
在其他條件不變下（如應付帳款付現天數、銷貨成本與營收等皆不變），當公司的**現金循環 (CCC) 越短**（代表資金迴轉血液循環越順暢、越有效率），必然伴隨著：
* **平均存貨天數縮短**：代表產品從進貨到出售的速度變快，積壓在倉庫的**存貨金額變少**。
* **平均應收帳款天數縮短**：代表公司向客戶收回現金的速度變快，未收回的**應收帳款金額變少**。
因此，前半段的觀念是完全正確的。
---
### 2. 後半段（錯誤）：總資產周轉率將降低
這正是本題出錯的致命傷。我們來看**總資產周轉率**的計算公式：
$$\text{總資產周轉率} = \frac{\text{銷貨收入}}{\text{總資產}}$$
在「其他條件不變」的前提下（即銷貨收入、固定資產等皆維持恆定）：
1. 如前半段所述，因為營運效率提升，存貨與應收帳款**減少了**（代表營運資金積壓變少）。
2. 存貨與應收帳款屬於流動資產，當它們減少時，公司的**「總資產」（分母）會隨之減少（變小）**。
3. 在數學結構上，當分子（銷貨收入）不變，而**分母（總資產）變小時，相除出來的結果——總資產周轉率必然會「提高（上升）」**，而非降低。
### 結論
當現金循環變短時，代表企業資金周轉極具效率，用更少的資產（存貨與應收帳款減少，使總資產變輕）就能創造同等規模的營收，因此**總資產周轉率將會「提高」**。因此，原敘述後半段在財務邏輯上是完全相反的。</t>
  </si>
  <si>
    <t>X, 4 年</t>
  </si>
  <si>
    <t>酸梅公司正在評估一投資案，其投資金額與相關現金流量如下表，顯示該投資案的回收期限為 &lt;span style="color: red; text-decoration: underline;"&gt; 3&lt;/span&gt; 年
![2023090220](https://lh3.googleusercontent.com/d/1C7q13USS9h66zhKnHI1CKI8sEPusNUjJ)</t>
  </si>
  <si>
    <t>這個陳述是**錯的**（判斷題應填 **`X`**）。
根據題目的現金流量數據，我們來實際計算這項投資案的**名目回收期限 (Payback Period)**：
### 1. 專案各期現金流量數據
* **期初投資 (Year 0)**：`-100,000` 元
* **第一年 (Year 1)**：`+30,000` 元
* **第二年 (Year 2)**：`+60,000` 元
* **第三年 (Year 3)**：`-30,000` 元（注意：此期為**現金淨流出**）
* **第四年 (Year 4)**：`+40,000` 元
---
### 2. 逐年累積未回收金額計算
我們透過計算「累積未回收餘額」來看看資金在何時能夠完全收回：
* **期初 (Year 0)**：投出 100,000 元（累積未回收：**100,000 元**）
* **第一年年底 (Year 1)**：回收 30,000 元，累積未回收降至：`100,000 - 30,000` = **70,000 元**
* **第二年年底 (Year 2)**：回收 60,000 元，累積未回收降至：`70,000 - 60,000` = **10,000 元**
* **第三年年底 (Year 3)**：
此時發生了 **-30,000 元** 的淨流出（例如：設備大修或營運資金積壓）。這會導致累積未回收金額**不減反增**，從 10,000 元增加回：`10,000 - (-30,000)` = **40,000 元**。因此，在第三年年底時，專案尚未回收。
* **第四年年底 (Year 4)**：
回收 40,000 元，累積未回收金額歸零：`40,000 - 40,000` = **0 元**。
---
### 結論
該投資計畫直到**第四年年底 (Year 4)**，累積的淨現金流入才剛好完全彌補期初的 100,000 元投資成本。因此，**該投資案的回收期限應為 4 年**，而非 3 年。原陳述估計為 3 年是錯誤的。</t>
  </si>
  <si>
    <t>4_資本支出預算決策_回收期限法</t>
  </si>
  <si>
    <t>回收期限法(Payback Period)</t>
  </si>
  <si>
    <t>2022/9/17</t>
  </si>
  <si>
    <t>X, 代理問題主要有 ME/DE/大 E 小 E 代
理</t>
  </si>
  <si>
    <t>代理問題 &lt;span style="color: red; text-decoration: underline;"&gt; 僅發生於大股東與小股東之間 &lt;/span&gt;</t>
  </si>
  <si>
    <t>這個陳述是**錯的**（判斷題應填 **`X`**）。
在財務管理與公司治理學理中，**代理問題 (Agency Problem，或稱委託-代理問題 Principal-Agent Problem)** 源於「委託人 (Principal)」將決策權或資源委託給「代理人 (Agent)」經營時，雙方因**利益不一致**與**資訊不對稱**而產生的利益衝突。
代理問題絕非「僅」發生在大股東與小股東之間，在企業營運的生態系中，至少存在以下**三大經典代理衝突**：
---
### 1. 經理人與股東之間的衝突（第一類代理問題 Type I）
這是最經典、最常被討論的代理問題：
* **衝突本質**：股東（委託人）出資並委託專業經理人（代理人）負責公司日常營運。
* **經理人道德風險**：當公司手頭的**自由現金流量 (Free Cash Flow)** 非常充裕時，經理人往往容易因為個人私利或追求個人聲譽，進行非理性的過度併購或資源浪費，這將導致股東價值的減損，進而產生**「代理成本 (Agency Cost)」**。
---
### 2. 股東（代表股東的經理人）與債權人之間的衝突（第三類代理問題）
這是資產與負債端天生的利益拉扯：
* **衝突本質**：債權人借錢給公司，不論公司賺多少錢，債權人都只能收取固定的利息與本金；而股東則享有扣除利息與稅負後的「剩餘請求權」。
* **風險轉嫁衝突**：因為股權本質上是一種以公司資產為標的、以負債為執行價格的「買權 (Call Option)」，當資產波動度（風險）越高時，股權價值就越大。因此，代表股東的經理人傾向於**追求高風險的投資計畫**以求超額回報；然而，債權人極度厭惡風險，只希望公司穩定以便定期還本付息。當股東盲目追求高風險時，便會**傷害債權人的擔保保障**。
---
### 3. 大股東（控制股東）與小股東（非控制股東）之間的衝突（第二類代理問題）
這通常發生在股權高度集中的公司：
* **衝突本質**：掌握控制權的大股東 (Majority / Controlling Shareholders) 與不具備經營主導權的小股東 (Minority Shareholders) 之間的利益拉扯。
* **利益侵佔**：大股東可能利用其對董事會或公司的絕對控制力，透過**不尋常的關係人交易**、不合理的資產處分或薪酬分配等方式，將公司利益私下輸送至自己掌控的其他實體，進而嚴重剝奪並損害小股東的合法權益。
---
### 結論
財務學上的代理關係廣泛存在於所有「利益衝突且存有委託關係」的利害關係人之間。大股東與小股東的衝突只是其中之一，**經理人與股東**、**股東與債權人**之間的代理衝突在公司理財中同樣關鍵且常見。原題敘述將範疇過度窄化，因此是錯誤的。</t>
  </si>
  <si>
    <t>X, 有正常報酬率。(寫”仍有報酬”不給分..這種說法仍含有來自風險報酬)</t>
  </si>
  <si>
    <t>當市場具有效率時，代表投資人將 &lt;span style="color: red; text-decoration: underline;"&gt; 無投資報酬 &lt;/span&gt;</t>
  </si>
  <si>
    <t>這個陳述是**錯的**（判斷題應填 **`X`**）。
這題考的是財務管理與投資學中，關於**「效率市場假說 (Efficient Market Hypothesis, EMH)」**之定義與投資報酬分類的經典辨析。原敘述混淆了**「超額報酬」**與**「投資（預期）報酬」**的本質。
---
### 1. 核心財管學理：「無超額報酬」不等於「無投資報酬」
在一個**效率市場**中，資產價格會迅速且完全地反映所有可得的資訊。這會導致以下結果：
* **無法獲得「超額報酬 (Abnormal Return / Alpha)」**：
因為資訊已完全反映在價格中，投資人**無法透過技術分析（看過去價量）或基本面分析（看財報與產業）來持續打敗市場**，進而獲得高於其承擔風險應得的超額報酬（$\text{Alpha} = 0$）。
* **投資人依然享有「預期（要求）報酬 (Required Return / Normal Return)」**：
雖然投資人無法投機賺取超額暴利，但因為他們將資金投入市場並承擔了資產的風險（特別是無法被分散的系統性風險），市場依然必須給予投資人相對應的**「風險補償 (Compensation)」**。
---
### 2. 透過 CAPM 理論與財務直覺驗證
我們可以從兩大層面來直觀理解為什麼不可能「無投資報酬」：
1. **CAPM 模型定價邏輯**：
根據資本資產定價模型 (CAPM)：
$$E(R_i) = R_f + \beta_i \times [E(R_m) - R_f]$$
只要該資產具備系統性風險（$\beta_i &gt; 0$），投資人在效率市場中買入並持有，預期就能賺取高於無風險利率 ($R_f$) 的**正常投資回報**。
2. **市場運轉的底層直覺**：
投資的本質是「延遲當前消費以換取未來的購買力增長」。如果效率市場意味著「投資報酬率為 0」，那麼理性的投資人將會拒絕投資任何股票或專案，寧可直接把錢提走拿去存定存。因此，效率市場必須給予合理的預期報酬，市場機制才可能運作。
### 結論
當市場具有效率時，代表投資人**無法持續賺取「超額報酬 (Alpha)」**，但投資人**依然可以獲得與其承擔風險相對稱的「正常投資（預期）報酬」**。</t>
  </si>
  <si>
    <t>7_資本支出預算決策_效率資本市場之描述</t>
  </si>
  <si>
    <t>任何方案的資金成本是根據資金的 &lt;span style="color: red; text-decoration: underline;"&gt;用途而非來源&lt;/span&gt;。</t>
  </si>
  <si>
    <t>這個陳述是**對的**（判斷題應填 **`O`**）。
這是公司理財 (Corporate Finance) 中最核心的黃金法則之一：**資金成本（折現率）取決於資金的用途（專案風險），而非資金的來源（融資管道）**。
### 1. 為什麼資金成本決定於「用途」（風險），而非「來源」？
* **資金成本的本質是「風險的補償」**：在財務管理中，折現率（要求報酬率 / 資金成本）高低的唯一決定性關鍵是**該專案本身的風險程度**，也就是資金的**用途**。風險越高的用途，投資人要求的回報就越高，對應的折現率也必須越大。
* **融資與投資的決策分離**：傳統財務學理（如著名的 MM 理論）強調「融資是融資，投資是投資」。企業的價值主要來自投資決策（資產如何使用、創造多少營運現金流），而非融資決策（資金從哪裡來、是舉債還是發行新股）。
* **若看「來源」會產生的財務漏洞**：如果專案的資金成本取決於資金**來源**（例如：因為向銀行借款的成本較低，就把該方案的折現率設得很低），那公司只要多借錢，所有高風險的專案都會因為折現率極低而顯得可行。這是不合邏輯的，因為**融資管道（來源）並不能改變或抹滅專案本身內在的營運風險（用途）**。
---
### 2. 實務案例：多角化企業部門專案 WACC 誤判
在評估跨事業部或多角化經營企業的投資方案時，這項觀念尤為重要：
* **專案風險完全不同**：企業若同時擁有傳統「成熟代工」部門與新興「高科技研發」部門，這兩個部門的投資方案在市場上所面臨的系統性風險 ($\beta$) 完全不同。
* **不能一概套用公司整體的資金成本 (WACC)**：如果一視同仁地直接拿公司整體的資金成本 ($WACC$) 去評估高風險的新興事業專案，會因為套用了偏低的整體 $WACC$ 而導致折現不足，誤選了實質上會賠錢的高風險專案。相反地，對於風險較低且穩健的專案，則可能會因為套用了偏高的整體 $WACC$ 而錯誤拒絕了能創造價值的優質專案。
* **結論**：即便資金來源完全相同（都是同一家母公司的資金），各方案的資金成本（折現率）也必須根據它們各自的**用途與風險屬性**分別獨立決定。
### 結論
方案的資金成本是由該方案自身的風險程度（用途）所決定，與資金籌集管道（來源）無關。本題陳述完全正確。</t>
  </si>
  <si>
    <t>X, 市場風險(系統風險)</t>
  </si>
  <si>
    <t>資本資產訂價模型(CAPM)中，證券市場線(SML)表示證券期望報酬率與 &lt;span style="color: red; text-decoration: underline;"&gt; 個別風險 &lt;/span&gt; 的關係。</t>
  </si>
  <si>
    <t>這個陳述是**錯的**（判斷題應填 **`X`**）。
在資本資產訂價模型 (CAPM) 中，**證券市場線 (Security Market Line, SML)** 描述的是證券的期望報酬率與**「系統性風險（Systematic Risk，以 $\beta$ 值衡量）」**之間的線性關係，而非「個別風險（Individual Risk）」。
以下為您詳述其財務學原理與核心考點對比：
### 1. 證券市場線 (SML) 的核心定義
* **橫軸與縱軸**：SML 的**橫軸是 $\beta$ 值（衡量系統性風險）**，**縱軸是期望報酬率 (Expected Return)**。
* **公式表達**：SML 其實就是 CAPM 的圖形化呈現：
$$E(R_i) = R_f + \beta_i \times [E(R_m) - R_f]$$
這條線表明：當證券的系統性風險 ($\beta$) 越高，投資人要求對應的風險貼水 (Risk Premium) 就越高，預期報酬率也隨之呈線性上升。
---
### 2. 為什麼不補償「個別風險」？（系統性 vs. 非系統性風險）
根據財務管理與 CAPM 理論，風險可分為兩大類：
* **個別風險（非系統性風險 / 獨特風險）**：是由公司個別因素（如工廠失火、研發失敗）所造成。投資人可以透過**「投資組合 (Diversification)」將個別風險完全分散並消除**。
* **系統性風險**：是由整體市場共同因素（如地緣政治、央行升息、通膨）所造成，無法被分散。
* **市場補償機制**：因為個別風險可以輕易藉由分散投資來消除，**資本市場「只會補償」投資人避不掉的系統性風險**，不會為個別風險提供額外的風險溢酬。因此，用於決定單一資產定價的 SML，其自變數必然是系統性風險 ($\beta$)，而非包含個別風險的總風險或個別風險本身。
---
### 3. 考前必背：SML 與 CML 的經典混淆陷阱
在考試中，非常容易將 **SML** 與 **CML（資本市場線, Capital Market Line）** 進行混淆，請牢記以下對比：
| 比較維度 | 證券市場線 (SML) | 資本市場線 (CML) |
| :--- | :--- | :--- |
| **適用對象** | **任何資產、個股、或投資組合** | **僅適用於「有效率的投資組合 (Efficient Portfolios)」** |
| **風險衡量指標** | **系統性風險 ($\beta$ 值)** | **總風險（標準差 $\sigma$）** |
| **核心定義關鍵** | 表示預期報酬率與 **系統性風險** 的關係 | 表示有效組合之預期報酬與 **總風險（標準差）** 的關係 |
### 結論
證券市場線 (SML) 表達的是預期報酬率與 **系統性風險 ($\beta$)** 的關係；表示預期報酬率與 **總風險（包含個別風險）** 關係的是資本市場線 (CML)。原題所述之個別風險在 CAPM 定價中是不予補償的，故此陳述錯誤。</t>
  </si>
  <si>
    <t>現金流量表強調 &lt;span style="color: red; text-decoration: underline;"&gt;流量&lt;/span&gt; 的觀念，資產負債表則強調 &lt;span style="color: red; text-decoration: underline;"&gt;存量&lt;/span&gt; 的概念</t>
  </si>
  <si>
    <t>這個陳述是**對的**（判斷題應填 **`O`**）。
這題考的是財務管理與會計學中，最經典的**「時點（存量）」與「期間（流量）」**概念。
---
### 1. 財務學理與報表特性解析
在財務報表分析中，主要報表的數據屬性與強調重點有著本質上的不同：
* **資產負債表 (Balance Sheet) 強調「存量 (Stock)」**：
* **時間特徵**：資產負債表反映的是**「特定時點」**（例如 12 月 31 日這一天年底）的水位。
* **資料屬性**：這類數據稱為 **Stock-based data（存量資料）**。它就像是一張 **Snapshot（快照）**，只代表那一個瞬間的狀態，前一天或後一天的數字都可能隨時發生變動。因此在分析上，單看特定時點的存量資料有時較不可靠。
* **現金流量表 (Statement of Cash Flows) 強調「流量 (Flow)」**：
* **時間特徵**：現金流量表（以及損益表）反映的是**「一段特定期間」**（例如 1 月 1 日至 12 月 31 日累積的一整年，或某一季）的累積變動。
* **資料屬性**：這類累積的數據稱為 **Flow-based data（流量資料）**。流量資料在統計與分析性質上相對存量更為穩定，它能完整記錄公司在該期間內營運、投資與融資活動實際流入與流出的現金軌跡。
---
### 💡 經典水庫比喻：快速區分存量與流量
在財務學理上，常以「水庫」來做非常直覺的比喻：
* **存量（資產負債表）**：代表水庫在**「此時此刻」的蓄水量（水位）**。
* **流量（現金流量表 / 損益表）**：代表水庫在**「一段時間內」流進來（流入）與流出去（流出）的水量累計**。
---
### 📊 核心概念對照表：三大財務報表
| 財務報表 | 強調觀念 | 時間維度 | 財務實務說明 |
| :--- | :--- | :--- | :--- |
| **資產負債表** &lt;br&gt; (Balance Sheet) | 🔴 **存量 (Stock)** | **特定時點** &lt;br&gt; (Spot / Snapshot) | 特定日期（如 12 月 31 日）當天，公司帳上與資產庫裡累積留存的水位。 |
| **損益表** &lt;br&gt; (Income Statement) | 🟢 **流量 (Flow)** | **一段特定期間** &lt;br&gt; (Period / Flow-based) | 一整年（或一季）下來，公司在營運上累計賺取的營收與扣除的費用。 |
| **現金流量表** &lt;br&gt; (Statement of Cash Flows) | 🟢 **流量 (Flow)** | **一段特定期間** &lt;br&gt; (Period / Flow-based) | 一整年（或一季）下來，實際流入與流出公司口袋的現金水流變化（包含營運、投資、融資）。 |
### 結論
因此，**現金流量表（與損益表）屬於流量資料，資產負債表則屬於存量資料**，原陳述完全正確。</t>
  </si>
  <si>
    <t>X, 
1. B 計畫報酬率低於市場要求報酬率
2. 計畫報酬率與公司資金成本無關</t>
  </si>
  <si>
    <t>右圖表示公司資金成本與證券市場線的關係。現有兩個互斥計畫待選，由於 B 計畫的計畫報酬率 &lt;span style="color: red; text-decoration: underline;"&gt;低於公司資金成本，因此選擇 A 計畫為投資決策，對公司較有利&lt;/span&gt;
![2023090220](https://lh3.googleusercontent.com/d/16M_6CULrE3GblwbEfO5-_83bzdP8cytq)</t>
  </si>
  <si>
    <t>這個陳述是**錯的**（判斷題應填 **`X`**）。
這題考的是財務管理中非常經典的**「單一公司資金成本 (WACC) 評估不同風險專案時的決策陷阱」**。原陳述在圖形事實解讀與決策因果關係上皆有錯誤。
以下為您進行詳細的拆解與學理解析：
---
### 1. 圖形基本事實判定錯誤：B 實際上「高於」公司資金成本
觀察專案報酬率與公司資金成本線的相對位置：
* **紅線（公司資金成本，即 WACC）**：代表公司整體的加權平均資金成本。
* **A 計畫**：其專案報酬率位於紅線**下方**，代表 A 計畫的專案報酬率**低於**公司資金成本。
* **B 計畫**：其專案報酬率位於紅線**上方**，代表 B 計畫的專案報酬率**高於**公司資金成本。
原陳述提及「由於 B 計畫的計畫報酬率低於公司資金成本」，在看圖判定上記錄與事實相反。
---
### 2. 決策邏輯的致命衝突：WACC 評估法 vs SML 評估法
當公司旗下有多個風險（$\beta$ 值）不同的部門或專案時，**不能直接套用單一的公司資金成本 (WACC) 作為所有專案的評估門檻**：
#### 🔴 如果公司「誤用」單一資金成本 (WACC) 作門檻：
* 公司會以紅線為標準做決策：因為 B 計畫高於紅線，公司會**錯誤地接受 B 計畫**；因為 A 計畫低於紅線，公司會**錯誤地拒絕 A 計畫**。
#### 🟢 如果公司「正確」使用證券市場線 (SML) 依風險調整門檻：
* **A 計畫（低風險）**：雖然其報酬率低於公司 $WACC$，但因為它落在 **SML（證券市場線）的上方**，代表其專案預期報酬大於該風險等級的要求報酬率。因此，A 計畫的 $NPV &gt; 0$，能為股東創造價值，**應該被接受**。
* **B 計畫（高風險）**：雖然其報酬率高於公司 $WACC$，但因為它落在 **SML 的下方**，代表其報酬不足以補償它所承擔的高系統性風險。因此，B 計畫的 $NPV &lt; 0$，會摧毀股東價值，**應該被拒絕**。
---
### 結論
雖然原陳述的最後一句結論「選擇 A 計畫為投資決策，對公司較有利」在結果上是正確的（因為 A 計畫確實是唯一 $NPV &gt; 0$ 的可行專案），但其給予的前置原因**「由於 B 計畫報酬率低於公司資金成本」不符合事實且邏輯顛倒**（若 B 的報酬率低於 $WACC$，在 $WACC$ 門檻下公司反而不會選 B）。
因此，本題陳述為錯誤。</t>
  </si>
  <si>
    <t>X, 只要寫 RE &gt; RA &gt; RD 就給分</t>
  </si>
  <si>
    <t>資金成本 R 的比較，由大至小為 &lt;span style="color: red; text-decoration: underline;"&gt;RE &gt; RD&gt; RA = RWACC&lt;/span&gt;</t>
  </si>
  <si>
    <t>這個陳述是**錯的**（判斷題應填 **`X`**）。
這題考的是財務管理中關於**「各種資金成本（要求報酬率）的大小排序」**與 **MM 理論**的底層關係。
以下為您詳述其財務學理與排序邏輯：
---
### 1. 核心風險與報酬排序：為什麼 $R_D$ 不可能大於 $R_A$？
根據財務管理的基本原理，**「風險越高，要求的報酬率就越高」**。我們來比較公司各出資人的風險與優先順位：
* **股權要求報酬率 ($R_E$) 最高**：股東是公司的「剩餘請求權人」，排在債權人之後，承擔了公司最終的營運與財務風險。因此，股東要求的報酬率 **$R_E$ 必然是所有資金成本中最高的**。
* **債權要求報酬率 ($R_D$) 最低**：債權人享有「優先請求權」，且通常有公司資產作為擔保，其收益固定且風險最低。因此，債權人要求的報酬率 **$R_D$ 必然是最低的**。
* **資產資金成本 ($R_A$，即無負債時的資金成本 $R_0$) 介於中間**：資產資金成本反映的是公司本業資產的營運風險。因為公司的資產是由股權與債權共同出資支持的，所以資產的要求報酬率 $R_A$ 在本質上就是 **$R_E$ 與 $R_D$ 的加權平均**。
根據數學邏輯，一個加權平均值必然介於最大值與最小值之間。因此，三者的基本風險與報酬排序必定為：
$$\mathbf{R_E &gt; R_A &gt; R_D}$$
原陳述中若認為債務成本會高於資產成本（$R_D &gt; R_A$），這在財務邏輯上完全是不可能的。
---
### 2. $R_A$ 與加權平均資金成本 ($R_{WACC}$) 的關係
宣稱 $R_A = R_{WACC}$ 只有在特定前提下成立，且會因稅負環境而有所不同：
* **無稅情況下（完美市場）**：根據 MM 第一命題，不論公司如何舉債，公司的整體加權平均資金成本皆維持不變，此時 $R_{WACC}$ 確實恆等於無負債資產成本 $R_A$（$R_0$）。此時的完整關係為：
$$\mathbf{R_E &gt; R_A = R_{WACC} &gt; R_D}$$
* **有稅情況下（考慮公司所得稅）**：由於利息具有抵稅效果 (Tax Shield)，當公司提高舉債比例時，**加權平均資金成本 $R_{WACC}$ 會隨之遞減**。因此，在有稅的情境下，$R_{WACC}$ 會小於無負債資產成本 $R_A$，其關係為：
$$\mathbf{R_E &gt; R_A &gt; R_{WACC} &gt; R_D(1-T_c)}$$
### 結論
不論在何種稅負情境下，**$R_E$ 永遠最大，$R_D$ 永遠最小，且資產成本 $R_A$ 必定大於債務成本 $R_D$**。原陳述的排序與「風險越高、要求報酬率越高」的財務學基本規律相反，因此是錯誤的。</t>
  </si>
  <si>
    <t>&lt;span style="color: red; text-decoration: underline;"&gt;直接破產成本&lt;/span&gt; 是指律師、會計師的費用，&lt;span style="color: red; text-decoration: underline;"&gt;間接破產成本&lt;/span&gt; 則是因財務危機增加的營運與財 務成本</t>
  </si>
  <si>
    <t>這個陳述是**對的**（判斷題應填 **`O`**）。
這題考的是財務管理中關於**「財務危機成本 (Costs of Financial Distress)」**（或稱破產成本）的精確分類。在企業資本結構決策（如 MM 理論與權衡理論 Trade-off Theory）中，這兩大成本的定義與劃分如下：
---
### 1. 直接破產成本 (Direct Bankruptcy Costs)
* **本質**：指企業在**正式進入重整或破產法律程序**時，所必須支付的**直接、可衡量的法律與行政自付費用**。
* **典型項目**：
* 協助破產法庭清算與重組的**律師費用**。
* 負責清查與清算帳目的**會計師與鑑價師費用**。
* 破產受託人 (Trustee) 與法庭訴訟的規費。
* **特徵**：這類成本在學理上非常具體且容易量化，通常占公司資產價值的一定比例（通常隨公司規模變小，其比例相對變大）。
---
### 2. 間接破產成本 (Indirect Bankruptcy Costs)
* **本質**：指企業在**面臨財務危機 (Financial Distress)** 時，即便尚未正式宣告破產，也未進入法律清算，但因為「可能快要倒閉」的市場風聲，而導致**企業營運能力受損與融資成本拉高**的無形損失。
* **典型項目**：
* **營運成本增加與收入減損**：
1. **客戶流失 (Sales Erosion)**：客戶因為擔心保固與售後服務中斷（例如買車、買高科技設備），選擇轉向競爭對手，導致營收大跌。
2. **供應商限縮信用**：供應商擔心貨款收不回來，**拒絕提供賒帳（AP 縮短）**，要求必須「一手交錢一手交貨」或預付現款，使得公司的**淨營運資金 (NWC) 壓力暴增**。
3. **人才流失 (Brain Drain)**：核心研發與管理人才擔心公司隨時倒閉、拿不到年終，而集體跳槽。
* **財務與資金成本增加**：
1. **債信評等下調**：公司信用評等 (Credit Rating) 遭調降（如從投資等級降至投機等級），使得向銀行再舉債的**融資利息（資金成本 $R_d$）劇烈飆升**。
* **特徵**：間接破產成本在實務上**極難精確量化，但其造成的實質價值減損 (Destroyed Value) 往往遠大於直接破產成本**。
---
### 💡 財務觀念整合：為什麼這兩大成本很關鍵？
在完美市場（無稅）的 **MM 第一命題** 中，我們假設舉債不影響公司價值 ($V_L = V_U$)。當加入公司稅後，舉債會因為「利息抵稅」帶來**稅盾效益 (Tax Shield)**，此時舉債越多、公司價值越高 ($V_L = V_U + T_c \times D$)。
然而，真實世界中公司不能 100% 靠借債營運。根據**靜態權衡理論 (Static Trade-off Theory)**，企業的最佳資本結構（最適負債比）是由兩股力量權衡決定：
$$V_L = V_U + \text{稅盾現值} - \text{財務危機成本現值（含直接與間接破產成本）}$$
當舉債過多時，破產機率大增，**直接與間接破產成本（財務危機成本）**會迅速吃掉稅盾帶來的好處，甚至使公司價值急轉直下。因此，原陳述對於這兩類破產成本的劃分完全符合財務管理學理。</t>
  </si>
  <si>
    <t>9_資本結構決策_財務危機成本</t>
  </si>
  <si>
    <t>財務危機成本與破產重整清算</t>
  </si>
  <si>
    <t>股票投資組合的報酬率為個別股票報酬率之 &lt;span style="color: red; text-decoration: underline;"&gt;算術平均&lt;/span&gt;</t>
  </si>
  <si>
    <t>這個陳述是**錯的**（判斷題應填 **`X`**）。
### 1. 核心財務與投資學理：是「加權平均」，而非「算術平均」
在財務管理與投資學中，**投資組合的報酬率是個別資產（股票）報酬率的「加權平均 (Weighted Average)」**，而非單純的「算術平均 (Arithmetic Average)」。
* **投資權重 (Weights) 的關鍵角色**：每檔股票對投資組合整體報酬率的貢獻，取決於該股票佔整個投資組合**總資金的比例（即投資比重，通常表示為 $W_i$）**。
* **數學公式表達**：
若一個投資組合包含 $n$ 檔股票，其投資組合預期報酬率 $E(R_p)$ 的公式為：
$$E(R_p) = \sum_{i=1}^{n} W_i \times E(R_i) = W_1 R_1 + W_2 R_2 + \dots + W_n R_n$$
（其中 $W_i$ 為第 $i$ 檔股票的投資權重，所有權重相加必須等於 100%；$R_i$ 為第 $i$ 檔股票的預期報酬率）。
* **極端特例與實務差異**：只有在「每檔股票的投資金額完全相同（等權重，$W_1 = W_2 = \dots = 1/n$）」的特例下，加權平均才會剛好等於算術平均。在實務投資組合中，各股票持有比例通常不同，因此必須使用加權平均。
---
### 2. 財務學理貫穿運用：加權平均 (Weighted Average)
在公司理財中，加權平均的概念貫穿各大主題（例如「資金成本 WACC」與「資產系統風險 Asset Beta」）：
* **資產報酬與 Beta 的組合本質**：公司的整體資產 (Asset) 在本質上就是由「債權 (Debt)」與「股權 (Equity)」所共同組成的一個資產組合。
* **WACC 與 Asset Beta 的公式勾稽**：
* 公司的整體資產要求報酬率 ($R_a$ / WACC) 是股權要求報酬率 $R_e$ 與債權要求報酬率 $R_d$ 依其資本價值佔比計算而來的**加權平均**：
$$R_a = R_d \times \frac{D}{V} \times (1 - t) + R_e \times \frac{E}{V}$$
* 公司的資產系統風險 ($\beta_{\text{Asset}}$) 也是股權 Beta 與債權 Beta 依其價值佔比所計算出來的**加權平均**：
$$\beta_{\text{Asset}} = \beta_{\text{Debt}} \times \frac{D}{V} + \beta_{\text{Equity}} \times \frac{E}{V}$$
這些核心公式皆證實：在評估任何財務組合（不論是股票投資組合，還是公司的資本結構組合）時，**「佔比權重」是不可或缺的因子，必須採用加權平均計算**。
### 結論
股票投資組合的報酬率必須依據各檔股票的投資金額比例進行**「加權平均」**計算。原陳述宣稱為「算術平均」忽略了投資比重的實質影響，在學理與實務上皆是錯誤的。</t>
  </si>
  <si>
    <t>草莓公司之平均應收帳款天數為 15 天，平均存貨天數為 50 天，平均應付帳款天數為 20 天，則現金循環長度為&lt;span style="color: red; text-decoration: underline;"&gt;70&lt;/span&gt; 天</t>
  </si>
  <si>
    <t>這個陳述是**錯的**（判斷題應填 **`X`**）。
這題考的是**「現金循環天數 (Cash Conversion Cycle, CCC)」**的計算，我們可以代入標準財務公式來驗證：
### 1. 核心財務公式
根據財務管理中的營運資金管理定義，**現金循環天數（或稱現金轉換循環, CCC）**的標準計算公式為：
$$\text{現金循環天數 (CCC)} = \text{平均存貨天數} + \text{平均應收帳款天數} - \text{平均應付帳款天數}$$
---
### 2. 實際數據代入與計算
將題目中提供的營運數據代入公式：
* **平均存貨天數** = 50 天
* **平均應收帳款天數** = 15 天
* **平均應付帳款天數** = 20 天
$$\text{實際現金循環天數} = 50 + 15 - 20 = \mathbf{45} \text{ 天}$$
這代表草莓公司從支付現金採購原材料開始，經歷製造、銷售，直到最後收回現金，整個資金被積壓的「血液循環時間」實際上只需要 **45 天**，而非題目所說的 70 天。
---
### 3. 為什麼必須「扣除」應付帳款天數？
在財務邏輯上，這三項指標的消長關係非常直覺：
1. **平均存貨天數 (50天)** 與 **平均應收帳款天數 (15天)**：代表資金被「卡」在倉庫（存貨）與客戶口袋（應收帳款）中的時間，這兩者會**拉長**現金被積壓的時間，因此採用**加法**。
2. **平均應付帳款天數 (20天)**：代表公司可以合法向供應商賒帳、延遲付款的寬限期。這筆「交易信用 (Trade Credit)」相當於供應商提供給我們的無息融資，能幫公司減輕週轉金壓力，進而**縮短**現金被壓著的時間，因此在公式中必須採用**減法**。
如果誤算為 70 天，很可能是因為在公式符號邏輯上產生混淆（例如錯誤地將應付帳款天數相加：$50 + 20 = 70$），進而嚴重高估了公司的資金積壓時間。
### 結論
草莓公司的**現金循環天數應為 45 天**，原陳述估計為 70 天是錯誤的。</t>
  </si>
  <si>
    <t>X, 再投資風險；價格風險</t>
  </si>
  <si>
    <t>就債券而言，先拿到錢的 &lt;span style="color: red; text-decoration: underline;"&gt;價格風險&lt;/span&gt; 大，後拿到錢的 &lt;span style="color: red; text-decoration: underline;"&gt;再投資風險&lt;/span&gt; 大</t>
  </si>
  <si>
    <t>這個陳述是**錯的**（判斷題應填 **`X`**）。
這題考的是債券投資中非常經典的**價格風險 (Price Risk，或稱利率風險)**與**再投資風險 (Reinvestment Risk)**之間的消長 (Trade-off) 關係。原陳述將這兩個風險與資金收回時點的對應特徵完全**顛倒**了。
---
### 1. 核心財務學理：為什麼原敘述是錯的？
在債券與固定收益商品評價中，這兩大風險的底層邏輯與資金收回的「時點 (Timing)」有著密切關係：
* **後拿到錢的債券 $\rightarrow$ 價格風險大，再投資風險小**
* **價格風險 (Price Risk)**：是指「市場利率上升，導致債券價格下跌」的風險。**越晚拿到錢的債券**（如長天期、低票面利率或零息債券），其**存續期間 (Duration) 越長**。由於大部分現金流都在遙遠的未來，當市場折現率發生波動時，這些現金流會被重複折現很多次，導致債券價格產生極為劇烈的震盪。因此，**後拿到錢的債券，價格風險「大」**。
* **再投資風險 (Reinvestment Risk)**：是指「當市場利率下跌時，中途回收的利息或本金只能以較低利率進行再投資」的風險。後拿到錢的債券中途幾乎沒有流出什麼資金（或全鎖在到期日），投資人不用在市場利率走低時，頭痛拿著大筆現金在市場上找新的投資標的。因此，**後拿到錢的債券，再投資風險「小」**。
* **先拿到錢的債券 $\rightarrow$ 價格風險小，再投資風險大**
* **價格風險「小」**：因為大部分資金在短期內或透過高額票息快速回收，未來的折現年限短，因此價格對市場利率波動的敏感度極低。
* **再投資風險「大」**：因為很早就拿到了大量現金，當市場利率環境走下坡時，投資人被迫必須在低利率的環境下重新尋找標的來安置這筆資金，原先鎖定的高收益就此消失。因此，**先拿到錢的債券，再投資風險「大」**。
---
### 2. 債券評價與折現邏輯
1. **債券本質與現值**：債券的價值評估是由「未來票息 (Coupon) 的年金現值，加上到期面額 (Face Value) 的折現值」所構成。
2. **市場折現率的變動**：票息與面額在發行時皆已固定，債券價格唯一的變數就是**市場折現率 $R$ 的波動**。這種因為要求報酬率 $R$ 隨市場波動，進而導致未來現金流現值產生起伏的現象，即為**價格風險**的本質。
---
### 💡 債券兩大風險特徵快速對比
| 債券時點特徵 | 代表類型 | 價格風險 (利率風險) | 再投資風險 |
| :--- | :--- | :--- | :--- |
| **先拿到錢** &lt;br&gt; (中途或提早回收資金) | **短天期、高票面利率債券** | 🔴 **小** &lt;br&gt; (存續期間短，價格變動小) | 🟢 **大** &lt;br&gt; (需在未來低利率環境再投資) |
| **後拿到錢** &lt;br&gt; (資金鎖定時間長) | **長天期、低票面或零息債券** | 🟢 **大** &lt;br&gt; (存續期間長，價格極易受利率波動衝擊) | 🔴 **小** &lt;br&gt; (中途無資金流出，鎖定收益長) |
### 結論
因此，正確的說法應為：**先拿到錢的「再投資風險」大，後拿到錢的「價格風險」大**。原敘述將兩者倒置，故為錯誤。</t>
  </si>
  <si>
    <t>股票的價格波動之所以是隨機，主因在於未來所發生的「新資訊」是 &lt;span style="color: red; text-decoration: underline;"&gt;隨機&lt;/span&gt; 的。</t>
  </si>
  <si>
    <t>這個陳述是**對的**（判斷題應填 **`O`**）。
### 1. 核心財務與效率市場理論解析
在**效率市場假說 (Efficient Market Hypothesis, EMH)**與**隨機漫步 (Random Walk)**的架構下，這兩者有著非常嚴謹的因果關係：
* **現有價格已反映所有已知資訊**：在一個有效率的資本市場中，當前的股票價格已經完全且即時地反映了所有相關的資訊（如過去價量、財報、營收預期等）。
* **只有「新資訊」能改變股價**：如果股價要發生變動，其唯一的驅動力量，就是**「新資訊 (New Information)」**的流入。
* **「新資訊」在定義上必須是隨機的**：在財務與統計學中，所謂的新資訊，必須是**不可預測、出乎意料**的事件。如果一個事件或數據是可以被提前精確預測的，那它早就會被當前的市場所消化，並反映在今天的股價中。因此，未來會發生的新資訊，其「何時發生」以及「是好是壞的程度」，在定義上都是**隨機且不確定**的。
---
### 2. 澄清隨機漫步的經典誤解
對於「價格波動隨機，是否代表它不受到任何因素影響？」這個常見的財管觀念陷阱，其學理釐清如下：
* **股價並非毫無依據地亂跳**：價格波動雖然呈現隨機形態，但這**並不代表它背後沒有因果關係，或者不受任何因素影響**。
* **隨機的根源在於「新資訊」的隨機性**：股價的每一次跳動，底層依然是**基於所有已知資訊與新資訊的流入**。
* **隨機形態的呈現**：正是因為「新資訊何時進來、是好是壞」的隨機特徵，才會導致投資人最終在時間軸上觀察到的股價上下起伏，呈現出如同擲硬幣般、無法被提前精確預測的**隨機漫步 (Random Walk)** 形態。
### 結論
股票價格的隨機波動，並非因為它不受經濟因素影響，而是因為**驅動股價變動的「未來新資訊」本質上是隨機且不可預測的**。當隨機的資訊輸入進市場，經過有效率的定價後，便輸出隨機的股價變動。因此，本題陳述完全正確。</t>
  </si>
  <si>
    <t>如果可以由內線消息獲取超額報酬，則強式效率市場 &lt;span style="color: red; text-decoration: underline;"&gt; 必然不成立 &lt;/span&gt;。</t>
  </si>
  <si>
    <t>這個陳述是**對的**（判斷題應填 **`O`**）。
我們可以從「效率市場假說 (Efficient Market Hypothesis, EMH)」的理論定義與邏輯推導來驗證這個陳述：
### 1. 效率市場假說 (EMH) 的三大分級與資訊集合
根據財務學家尤金·法馬 (Eugene Fama) 提出的理論，效率市場依據股價所反映的「資訊集合 (Information Set)」範圍，可區分為三種強度的效率狀態：
* **弱式效率 (Weak-form)**：股價已完全反映所有「歷史的價量與交易資料」。
* **半強式效率 (Semi-strong form)**：股價已完全反映所有「公開可得的資訊」（如公司財報、營收宣告、新聞等）。
* **強式效率 (Strong-form)**：股價已完全且無時差地反映了**「所有的資訊」**，除了歷史與公開資訊外，還**包含尚未公開的「內幕消息 / 私有資訊 (Private / Inside Information)」**。
---
### 2. 強式效率市場的理論極限與邏輯推導
* **理論狀態**：如果一個市場達到最高級的「強式效率」，代表市場對資訊的定價能力極其完美，任何尚未公佈的重大利多或利利空消息，都已經**提前反映在當前的股價中**。
* **「無超額報酬」推論**：既然內幕消息早已完全反映在股價裡，即便是公司的內部人 (Insiders)，手握核心未公開機密，也**無法藉此在市場上賺取任何超額報酬 (Abnormal Returns)**。
* **邏輯推導（否逆命題）**：
* **前提**：若市場為強式效率 $\rightarrow$ 則任何人（含內部人）皆無法利用內線消息獲取超額報酬。
* **實證反例**：若投資人可以利用內線消息獲取超額報酬。
* **結論**：根據邏輯推論，**強式效率市場即不成立**。
---
### 3. 學術實證與實務定論
在財務學術研究中，檢定強式效率市場是否成立的標準做法，正是**去研究並追蹤公司內部人 (Insiders) 申報的股權交易紀錄，觀察他們是否能藉由資訊優勢賺取超額利潤**。
* **實證結果**：幾乎所有的學術與實務研究皆證實，內部人在買賣自家股票時，確實能獲得顯著的超額報酬。
* **實務定論**：這項證據直接宣告了**「真實的資本市場並未達到強式效率」**。這也是為什麼各國政府皆必須制定嚴格的證券交易法令來防範與懲治「內線交易」，因為內線消息確實能為知情者帶來不公平的超額暴利。
### 結論
若投資人能透過內線消息獲取超額報酬，即代表這部分私有資訊尚未被股價完全反映。這直接違反了強式效率市場「股價已反映所有公開與私有資訊」的底層假設。因此，在這種情況下，**強式效率市場必然不成立**，原陳述完全正確。</t>
  </si>
  <si>
    <t>X, 無稅，RD 不變</t>
  </si>
  <si>
    <t>MM 命題 II 在無稅的情形下，債權的資金成本 &lt;span style="color: red; text-decoration: underline;"&gt; 隨槓桿程度增加而增加 &lt;/span&gt;</t>
  </si>
  <si>
    <t>這個陳述是**錯的**（判斷題應填 **`X`**）。
### 1. 核心財務與 MM 理論學理
在**完美市場（無稅）**的假設前提下，根據 **MM 第二命題 (MM Proposition II)** 的學理與圖形結構：
* **債權資金成本 ($R_D$) 保持不變**：
債權資金成本 $R_D$ 在理論中是固定且相對較低的成本。在無稅的 MM 命題中，它被視為一個**常數**，在以槓桿程度（負債權益比 $D/E$）為橫軸的圖形中，$R_D$ 是一條**水平線**，並不會隨著槓桿程度的增加而上升。
* **隨槓桿程度增加而增加的是「股權要求報酬率 ($R_E$)」**：
當公司的財務槓桿 ($D/E$) 提高時，普通股股東由於承擔了更高的財務風險與不確定性，會要求更高的風險補償。因此，**股權資金成本 $R_E$ 才會隨著槓桿程度的增加而呈線性遞增**（在圖形上呈現一條往右上傾斜的正斜率直線）。
---
### 2. 無稅下 MM 第二命題的公式驗證
這項關係可以透過無稅下的 MM 第二命題公式一目了然：
$$R_E = R_0 + (R_0 - R_D) \times \frac{D}{E}$$
* **$R_E$（股權資金成本）**：隨槓桿程度 ($D/E$) 的增加而**線性增加**。
* **$R_0$（無負債資產資金成本）**：為**常數**，在圖中呈水平線。
* **$R_D$（債權資金成本）**：為**常數**，在圖中呈水平線。
* **$D/E$（負債權益比 / 槓桿程度）**：其增加會按比例放大風險貼水。
若誤認為債權資金成本會隨槓桿上升，將會違背 MM 理論在無稅完美市場中「債務無風險、債務利率恆定」的基本理論假設。
---
### 3. 無稅下的加權平均資金成本 (WACC)
因為高槓桿導致股權成本 $R_E$ 的上升（變貴），會剛好完全抵消舉債增加（使用相對便宜的債務資金）所帶來的好處：
* **加權平均資金成本 ($WACC$，或稱資產資金成本 $R_A$) 維持不變**，其數值恆等於無負債資產成本 $R_0$（在圖中是一條不受槓桿影響的水平線）。
* 這也直接證明了 MM 第一命題的結論：在無稅完美市場下，**公司的資本結構（舉債與否）完全不影響公司價值**。
### 結論
在無稅的 MM 第二命題中，**債權資金成本 ($R_D$) 是恆定的常數**，只有**股權資金成本 ($R_E$) 才會隨槓桿程度 ($D/E$) 的增加而增加**。因此，原陳述是錯誤的。</t>
  </si>
  <si>
    <t>8_資本結構決策_MM模型</t>
  </si>
  <si>
    <t>X, 不一定。總風險(波動大)=系統風險+個別
風險，可能是個別風險大。寫”系統風險
不等於波動大”不給分</t>
  </si>
  <si>
    <t>某資產總風險很大 (波動度很大)，則該資產的貝他值 &lt;span style="color: red; text-decoration: underline;"&gt; 很大 &lt;/span&gt;。</t>
  </si>
  <si>
    <t>這個陳述是**錯的**（判斷題應填 **`X`**）。
這題考的是財務管理與投資學中，關於**「總風險 (Total Risk)」**與**「系統性風險（Systematic Risk，以貝他值 $\beta$ 衡量）」**的經典觀念辨析。
以下為您進行詳細的財務學理解析與觀念拆解：
---
### 1. 總風險與貝他值 (Beta) 的定義不同
根據資本資產定價模型 (CAPM) 與投資組合理論：
* **總風險（Total Risk，以標準差 $\sigma$ 衡量）**：包含了「系統性風險 (Systematic Risk)」與「非系統性風險 / 個別風險 (Unsystematic Risk)」兩大類。
* **貝他值 (Beta, $\beta$)**：**僅衡量「系統性風險」**。它衡量的是個別資產相對於整體市場大盤波動的**敏感度與聯動性**。
---
### 2. 為什麼「總風險大」不代表「貝他值大」？
核心關鍵在於：**資產與市場大盤的關聯性高不高，而非資產本身單純的波動度大小。**
* **個別風險極大，但與大盤聯動極低**：如果某個資產（例如：高波動的未上市新創個股、特定商品期貨或單一技術研發股票）的**總風險極大（價格波動非常劇烈）**，但它與整體股票市場走勢的**相關性極低**。
* **計算出來的貝他值 ($\beta$) 依然會很小**：在這種情況下，因為它與市場大盤的共變異數 (Covariance) 極低，其貝他值 $\beta$ 反而會接近於零。
* **此風險可被分散**：這類巨大的波動度主要來自於其獨特的「非系統性風險（個別風險）」，投資人可以透過「分散投資」予以完全抵消與消除，因此市場並不會為其提供額外的風險溢酬補償。
---
### 💡 結論與核心考點總整理
在財務定價的世界中，市場**只會補償無法被分散的系統性風險 ($\beta$)**，對於可以透過投資組合輕易消除的總風險/個別風險是不予補償的。
因此：
* **貝他值很大** $\rightarrow$ 代表該資產與市場大盤高度聯動，系統性風險很高。
* **總風險很大（波動度很大）** $\rightarrow$ 可能是由極大的個別風險造成的，**不代表其貝他值一定很大**。
原陳述將「總風險/波動度大」直接等同於「貝他值很大」，在財務學理上是完全不成立的，故為錯誤。</t>
  </si>
  <si>
    <t>X, 高</t>
  </si>
  <si>
    <t>對投資人而言，2019 年末的 COVID-19 的風險，屬於 &lt;span style="color: red; text-decoration: underline;"&gt; 個別風險，因每個人可以打疫苗而 分散 &lt;/span&gt;。</t>
  </si>
  <si>
    <t>這個陳述是**錯的**（判斷題應填 **`X`**）。
這題考的是財務管理與投資學中，關於**「系統性風險 (Systematic Risk)」**與**「個別風險 (Individual Risk / Unsystematic Risk)」**的定義，以及財務上**「分散風險 (Diversification)」**的本質。題目中將「醫學防護手段」與「財務投資組合分散」混為一談，在學理上是完全錯誤的。
以下為您進行最嚴謹的財務學理解析與糾錯：
### 1. 為什麼 COVID-19 屬於「系統性風險」？
* **系統性風險的定義**：是指由全體政治、經濟、社會等大環境宏觀因素（如地緣政治、通膨、利率變動、全球流行病等）所引起的風險。這種風險會**無差別地影響市場上的所有人與所有產業**。
* **COVID-19 的全面衝擊**：爆發的全球疫情引發了封城停工、供應鏈重組、需求劇變以及總體經濟衰退。無論投資人買進哪一家公司的股票，幾乎沒有人能逃過這場全球宏觀經濟風暴的衝擊。這種「覆巢之下無完卵」、無法透過多樣化投資避開的全面性風險，在財務學上是**最經典的系統性風險**。
---
### 2. 財務學上的「分散 (Diversification)」究竟是什麼？
* **分散個別風險的原理**：財務學上所說的「分散風險」，是指投資人透過**「建立投資組合 (Portfolio)」**，將資金分散投資在不同產業、不同特性的多檔股票上（不要把雞蛋放在同一個籃子裡）。
* **互相抵消的特性**：個別風險（如單一公司廠房失火、經理人研發失敗、訴訟糾紛）是由個別公司內部因素引起的。當你買入多檔不同的股票時，某些公司的壞消息會被其他公司的好消息所抵消，這種可以被投資組合完全消除的風險，才叫「個別風險」。
* **系統性風險無法被投資組合分散**：當面臨系統性風險（如疫情、地緣政治、央行升息）時，所有股票都會同步受到負面衝擊，因此**「放在多個資產中也無法完全消除」，系統性風險是無法透過投資組合分散掉的**。
---
### 3. 「打疫苗」與「財務風險分散」的邏輯謬誤
* **概念混淆**：打疫苗是**醫學上的個人防疫手段**，用以降低個體生病住院的生理不確定性。
* **無法消除經濟衝擊**：即便接種了疫苗，也無法扭轉疫情對全球供應鏈、跨國海運、實體零售、航空觀光等產業所造成的實質營運傷害與利潤滑落。因此，打疫苗**完全無法消除或抵消**該事件在資本市場上對投資人所造成的資產價值波動。
### 結論
對投資人而言，COVID-19 疫情屬於影響全市場的**「系統性風險（不可分散風險）」**。財務學上的「分散」指的是透過**投資組合**消除公司特有的非系統性風險，與醫學上個人接種疫苗以防範生理疾病完全是兩碼子事。因此，本題陳述是錯誤的。</t>
  </si>
  <si>
    <t>X, 大於 1. IRR&gt;R 則 PI&gt;1</t>
  </si>
  <si>
    <t>若某計畫要求報酬率小於只有唯一解的 IRR，則 PI &lt;span style="color: red; text-decoration: underline;"&gt; 小於 1 &lt;/span&gt;</t>
  </si>
  <si>
    <t>這個陳述是**錯的**（判斷題應填 **`X`**）。
這題考的是財務管理中三個最核心的投資決策指標——**要求報酬率（折現率 $R$）**、**內部報酬率 (IRR)** 與 **獲利指數 (PI)** 之間的連鎖邏輯關係。
以下為您進行詳細的財務邏輯推導與公式勾稽：
### 1. 核心指標定義與連動關係
在常規投資計畫（即期初流出、期末流入的典型專案，且 IRR 只有唯一解）下，**淨現值 ($NPV$)** 與折現率 ($R$) 呈反向變動關係（折現率越高，折出來的未來現金流量現值越小，$NPV$ 越低）：
* **內部報酬率 (IRR)** 的定義：是使計畫 **淨現值 ($NPV$) 等於 0** 的折現率。
* **獲利指數 (PI)** 的定義：是「所有未來現金流入的現值」除以「期初現金流出的現值」。其與 $NPV$ 的對應關係如下：
* 當 $NPV &gt; 0 \iff PI &gt; 1$（未來流入大於期初流出）
* 當 $NPV = 0 \iff PI = 1$
* 當 $NPV &lt; 0 \iff PI &lt; 1$（未來流入小於期初流出）
---
### 2. 當「要求報酬率 &lt; IRR」時的邏輯推演
在「IRR 只有唯一解」的前提下，我們將要求報酬率 ($R$) 與 IRR 進行對比：
1. **NPV 狀態判定**：因為要求報酬率 $R$ **小於** IRR，這代表我們用來折現的利率比「使 $NPV$ 歸零的臨界利率 (IRR)」還要低。在反向關係下，這意味著該計畫的 **$NPV &gt; 0$（淨現值大於零）**。
2. **PI 狀態判定**：既然此計畫的 $NPV &gt; 0$，代表未來現金流入的現值大於期初現金流出。根據獲利指數公式，此時的 **$PI$ 必定「大於 1」（$PI &gt; 1$）**，而非小於 1。
---
### 💡 決策指標連鎖對照表（常規計畫）
| 比較情境 | 要求報酬率與 IRR 關係 | 淨現值 ($NPV$) 狀態 | 獲利指數 ($PI$) 狀態 | 投資決策判定 |
| :--- | :--- | :--- | :--- | :--- |
| **情境 A（本題）** | **要求報酬率 $R &lt; \text{IRR}$** | 🟢 **$NPV &gt; 0$** | 🟢 **$PI &gt; 1$** | **可行（創造價值）** |
| **情境 B** | **要求報酬率 $R = \text{IRR}$** | 🟡 **$NPV = 0$** | 🟡 **$PI = 1$** | **損益兩平** |
| **情境 C** | **要求報酬率 $R &gt; \text{IRR}$** | 🔴 **$NPV &lt; 0$** | 🔴 **$PI &lt; 1$** | **不可行（摧毀價值）** |
### 結論
若某計畫要求報酬率小於其唯一解的 IRR，該計畫的 $NPV$ 將會大於 0，其**獲利指數 (PI) 必定會「大於 1」**。原陳述寫為「PI 小於 1」完全違反了基本的財務定價與指標連動邏輯，因此是錯誤的。</t>
  </si>
  <si>
    <t>&lt;span style="color: red; text-decoration: underline;"&gt;只要有 &lt;/span&gt;「代理成本」及「財務危機與破產成本」不存在的假設下，公司價值最大化的資本 結構等於股東利益最大化的資本結構。</t>
  </si>
  <si>
    <t>這個陳述是**對的**（判斷題應填 **`O`**）。
這題考的是資本結構理論 (Capital Structure Theory) 中，關於公司整體價值最大化與股東財富最大化在決策目標上何時能夠「完全等價」的邊界條件。
以下為您進行詳細的財務學理解析與觀念拆解：
---
### 1. 完美市場下的等價性：$V = D + E$
在財務學理中，企業整體價值 ($V$) 由債權人價值 ($D$) 與股東股權價值 ($E$) 組成：
$$V = D + E$$
* **無摩擦市場的等價關係**：在無市場摩擦（無稅、無破產成本與無代理問題）的假設下，若債務價值 $D$ 視為固定承諾或受到充分保障，當企業透過投資決策或資本配置推升公司整體價值 ($V$) 時，增值部分將全數歸屬於股權端 ($E$)。
* **目標一致性**：在此理想環境下，**「極大化公司價值 (Maximize Firm Value)」** 與 **「極大化股東財富 (Maximize Shareholder Value)」** 具有完全等價的決策效果。
---
### 2. 真實世界的市場摩擦：代理成本與財務危機成本
當脫離完美市場假設並引入現實世界的摩擦因素時，兩者目標可能產生分歧：
* **代理成本 (Agency Costs)**：包括股東與管理階層之間、或股東與債權人之間的利益衝突（如過度投資、資產轉移等風險轉嫁行為）。
* **財務危機與破產成本 (Financial Distress &amp; Bankruptcy Costs)**：當負債比率過高時，面臨的直接法律清算費用及間接客戶流失、供應商條件緊縮等營運損失。
當上述摩擦成本存在時，會瓜分企業營運所創造的實質價值。即便公司整體資產規模或總價值名義上有所增長，但若伴隨而來的代理問題或財務危機成本大幅攀升，股東最終分配到的實質權益價值 ($E$) 反而可能受損。
---
### 結論
在**「不考慮代理成本與財務危機/破產成本」**的前提假設下，使公司價值最大化的資本結構，在學理上完全等同於使股東權益價值最大化的資本結構，故原陳述完全正確。</t>
  </si>
  <si>
    <t>X, A 公司β&lt;B 公司β。斜率代表敏感度
(β)，斜率大β就大</t>
  </si>
  <si>
    <t>X, 不利</t>
  </si>
  <si>
    <t>當公司不想被其它家公司所購併時，可採取目標購回的方式。這種方式會與出價者建立契約來限制購買該公司股票，並且以相當高的溢價向其購回股票，是則對現有股東 &lt;span style="color: red; text-decoration: underline;"&gt; 有利&lt;/span&gt;。</t>
  </si>
  <si>
    <t>這個陳述是**錯的**（判斷題應填 **`X`**）。
---
### 1. 核心定義與運作方式
當公司面臨敵意併購威脅時，管理階層為了防止公司被接管，確實可能會採取**目標購回 (Targeted Repurchase，在財務學上常稱為「綠色郵件」或「綠票勒索」Greenmail)** 的方式。
* **運作機制**：公司動用資金，以**高額溢價**向該敵意併購者買回其手上的公司持股。
* **搭配契約**：在購回股票時，通常會要求敵意出價者簽訂合約（即**停戰協定 Standstill Agreement**），承諾在一定期限內限制其繼續購買公司股票或再次發動併購。
---
### 2. 為什麼這項決策對現有股東「不利」？
雖然對「目標購回 (Greenmail)」與停戰協定的機制描述符合實務，但宣稱其「對現有股東有利」在財務學理上是**完全錯誤**的。這項防禦策略對一般普通股東非常**不利且不公平**：
* **損害並稀釋其餘股東的權益**：高價溢價購回特定人股票的資金是**來自公司的資產**。這等於是拿公司（以及所有其他股東）的權益，去高價補貼特定併購者以換取其退兵，對留下來的現有股東極度不公平。
* **保護經理人自身職位（代理衝突）**：許多惡意併購防禦策略表面上宣稱是為了維護股東權益，但背後主要原因是為了**保護經理人自身的職位與利益**（防止公司被併購後，現有管理團隊遭解職），此行為屬於典型的代理成本。
* **阻礙股東獲取收購溢價的機會**：在市場實務中，一旦併購案發生，**目標公司的股東通常是最大的受益者**，能享有收購者提供的巨額溢價。管理階層透過目標購回打退併購者，反而剝奪了現有股東以高價變現、賺取超額報酬的機會。
### 結論
目標購回 (Greenmail) 實質上是**犧牲公司資產與一般股東權益，來換取惡意併購者退兵以保障管理階層職位的防禦手段，對現有股東是不利的**。因此，原陳述主張「對現有股東有利」為錯誤。</t>
  </si>
  <si>
    <t>4_資本支出預算決策_購併的成本</t>
  </si>
  <si>
    <t>MM 命題 I 有稅中，當舉債越多，其 &lt;span style="color: red; text-decoration: underline;"&gt; 稅盾效果將使公司價值越高 &lt;/span&gt;</t>
  </si>
  <si>
    <t>這個陳述是**對的**（判斷題應填 **`O`**）。
這題考的是**考慮公司所得稅（有稅）**情境下的 **MM 第一命題 (MM Proposition I with Taxes)**。
### 1. 核心財務公式與原理
在無稅的完美市場中，舉債不影響公司價值；但當我們**考慮公司所得稅**時，由於**「利息具有抵稅效果（利息稅盾, Interest Tax Shield）」**，利息費用可以在稅前扣除（列為費用），進而減少應課稅所得並降低公司支付的稅額。
在 MM 第一命題（有稅）中，有負債公司的價值 ($V_L$) 與無負債公司的價值 ($V_U$) 之關係公式如下：
$$V_L = V_U + T_c \times D$$
（其中 $T_c$ 為公司的邊際所得稅率，$D$ 為舉債金額）。
---
### 2. 為什麼舉債越多，公司價值越高？
* **稅盾價值的推導**：公司每年因舉債而省下的稅額可視為永續年金（即 $T_c \times R_D \times D$）。若將此年度省稅額以債權人的要求報酬率 ($R_D$) 折現回來，其**稅盾的總現值就等於 $T_c \times D$**。
* **價值的直接增長**：從公式可以看出，只要所得稅率 $T_c &gt; 0$，當公司舉債金額 ($D$) 增加時，**稅盾現值 ($T_c \times D$) 就會呈線性增加**。這股額外的省稅效益會直接併入公司資產，使有負債公司的價值高於無負債公司。
* **WACC 的遞減效果**：隨著舉債比例上升，利息抵稅好處會拉低公司整體的加權平均資金成本 ($WACC$)。當折現率 ($WACC$) 隨債務增加而逐步下降，折現出來的公司整體價值 $V_L$ 就會越來越高。
---
### 3. 理論的極限與現實的權衡
雖然在 MM 有稅第一命題中，理論上舉債到 100%（全數以債務融資）能使公司價值達到最大；但在實務上是不可能無限制擴張的，因為當公司過度舉債時，後續會衍生出**財務危機與破產成本**以及**代理成本**，這些無形損失最終會吃掉稅盾的好處（即權衡理論 Trade-off Theory 的核心觀念）。
### 結論
在考慮公司所得稅的 MM 第一命題下，舉債帶來的利息稅盾效果會提升公司價值，故本題陳述完全正確。</t>
  </si>
  <si>
    <t>Tobin’s Q 是一個用以衡量公司成長性的指標，其值越高代表成長性越高。當 A 公司的資 產重置成本小於權益市值及負債市值的總和時，此時 &lt;span style="color: red; text-decoration: underline;"&gt; Tobin’s Q &gt; 1 &lt;/span&gt; 。</t>
  </si>
  <si>
    <t>這個陳述是**對的**（判斷題應填 **`O`**）。
這題考的是財務管理與企業併購評價中非常經典的**「托賓 Q 比例 (Tobin's Q)」**指標。
---
### 1. Tobin's Q 的定義與公式對照
根據財務學的標準定義，Tobin's Q 的計算公式如下：
$$\mathbf{Tobin's\ Q = \frac{權益市值 + 負債市值}{資產重置成本}}$$
* **分子的意涵**：**「權益市值 ＋ 負債市值」**，代表資本市場給予這家公司的**整體市場價值**（或稱企業價值，Enterprise Value）。
* **分母的意涵**：**「資產重置成本 (Replacement Cost)」**，代表在目前的實體市場中，重新購置或建造一個與該公司一模一樣之資產（如土地、廠房、設備等）所需付出的**實際重置價值**。
* **數學邏輯判定**：當公司的「資產重置成本」（分母）小於「權益市值與負債市值總和」（分子）時，分子大於分母，因此計算出來的 **Tobin's Q 必定大於 1 ($Q &gt; 1$)**。這在定義上完全正確。
---
### 2. Tobin's Q 衡量公司「成長性」與「無形資產」的財務意涵
在公司理財學術與實務中，Tobin's Q 是用來衡量公司**成長機會 (Growth Opportunities)**、**投資性**與**無形資產價值**（如專利、商標、管理團隊品質）的核心指標：
* **當 $Q &gt; 1$（如題所述）**：
代表市場給予這家公司的估值，**高於**其有形資產的重置成本。這多出來的價值溢價，反映了市場看好該公司未來的**高成長性**、優秀的營運管理能力、或其持有的核心無形資產。**因此，其值越高，確實代表市場對其成長性的評價越高**。
* **當 $Q &lt; 1$**：
代表市場給予這家公司的估值，**低於**重建這些資產所需的成本。這通常意味著公司經營不善、缺乏成長性、或營運價值極低，使其在市場上被嚴重低估。
---
### 3. 企業評價與重置套利機制
在企業評價與併購動機分析中，Tobin's Q 具備高度實務應用價值：
* **資產的三種價值觀念**：評估企業價值時需區分 **「帳面價值 (Book Value)」**、**「營運價值 (Economic Value)」** 與 **「重置價值 / 成本 (Replacement Value)」** 三種概念。
* **併購套利的低估指標**：當公司的 $Q &lt; 1$ 時（重置成本大於權益與負債市值之和），這家公司容易成為潛在被併購標的。套利者或私募基金可以透過低價收購公司，隨後處分重置價值高之實體資產以清償負債並實現價值。
* **跨產業評價差異**：
* **高成長型製造業 / 科技業**：機械設備或技術拆解後之重置價值相對有限，其企業價值主要來自營運創造之未來現金流。因此實務上更側重**本益比 (P/E)** 與 **市價現金流比 (P/CF)**。
* **重資產 / 金融不動產持有型企業**：若於精華地段擁有高價值之自有資產（重置價值遠超帳面價值），當其 **P/B ratio（股價淨值比）** 或 **$Q$ 值** 被市場低估時，即蘊含較大之重置套利空間與併購爭奪機會。
### 結論
綜上所述，Tobin's Q 的值越高，確實代表公司的市場估值溢價越高、成長性越好；且當重置成本小於權益與負債市值總和時，Tobin's Q 必定大於 1。因此，原陳述完全正確。</t>
  </si>
  <si>
    <t>2_基本財務報表與分析_市場基本面比率</t>
  </si>
  <si>
    <t>市場基本面評價比率與預警模型</t>
  </si>
  <si>
    <t>財務危機中，當負債價值大於資產價值，即權益為負時，稱為 &lt;span style="color: red; text-decoration: underline;"&gt; 存量 &lt;/span&gt; 上的支付不能</t>
  </si>
  <si>
    <t>這個陳述是**對的**（判斷題應填 **`O`**）。
這題考的是財務管理中關於**「財務危機與支付不能 (Insolvency)」**在**存量 (Stock)** 與 **流量 (Flow)** 維度上的精確學理定義。
### 1. 存量上的支付不能 (Stock Insolvency / Balance-sheet Insolvency)
* **財務本質**：資產負債表 (Balance Sheet) 反映的是公司在**特定時點的水位，其資料屬性為「存量 (Stock)」**。
* **定義**：當公司在特定時點的**負債總額大於資產總額 (Liabilities &gt; Assets)**，導致**股東權益（淨值）變為負數**時，代表即便將公司的所有資產全部變現，也不足以償還其所有的債務。這在財務與法律上被定義為**「存量上的支付不能」**（或稱**資產負債表支付不能 / 技術性破產**）。
---
### 2. 流量上的支付不能 (Flow Insolvency / Cash-flow Insolvency)
* **財務本質**：損益表與現金流量表反映的是公司在**一段期間內的累積，其資料屬性為「流量 (Flow)」**。
* **定義**：這指的是公司**無法支付其到期的債務利息或本金**。即便公司的總資產依然大於負債（淨值為正），但如果公司在特定的時間點上缺乏足夠的現金流量 (Liquidity) 來支付當期應付的流出款項，便會陷入財務危機，這在財務上被稱為**「流量上的支付不能」**（俗稱**「週轉不靈 / 黑字倒閉」**）。
---
### 💡 財務觀念整合與選擇權觀點
1. **支付不能的風險來源**：舉債會帶來固定的利息與本金償付義務，當債務過高而公司無法按期支付或面臨週轉困難時，就會產生**「支付不能 (Insolvency)」**的風險。
2. **存量與流量的劃分**：資產負債表上的科目（資產、負債、權益）屬於特定時點的**「存量 (Stock)」**；而損益表與現金流量表則是反映期間現金進出的**「流量 (Flow)」**。
3. **選擇權的觀點 (Equity as a Call Option)**：公司的股權 (Equity) 在財務學理上可視為一個以公司資產 (Assets) 為標的資產、以負債價值 (Liabilities) 為履約價格的買權 (Call Option)。當資產價值跌破負債（權益變為負數）時，買權不具備履約價值，這正是「存量支付不能」的理論體現。
### 結論
因此，當負債價值大於資產價值，導致股東權益變為負數時，確實屬於**「存量上的支付不能」**，原陳述完全正確。</t>
  </si>
  <si>
    <t>現金循環長度越短越好，且 &lt;span style="color: red; text-decoration: underline;"&gt; 可能會 &lt;/span&gt;有 負值(小於 0)的情形發生</t>
  </si>
  <si>
    <t>這個陳述是**對的**（判斷題應填 **`O`**）。
這題考的是營運資金管理中非常經典的**「現金轉換循環 (Cash Conversion Cycle, CCC)」**核心觀念。
以下為您詳述其財務學理與產業實務案例：
---
### 1. 為什麼現金循環長度是「越短越好」？
* **資金效率的展現**：現金循環長度代表一筆資金被「積壓」在營運過程（從付現採購原料、存貨、出售、到最後向客戶收回現金）中的時間。
* **營運資金流動**：公司的營運資金就如同企業的血液，資金流動與周轉速度越順暢、越快速越好。
* **降低資金占用**：如果現金循環長度越長，代表有越多的資金被卡在存貨與應收帳款中無法動用，進而會壓低公司的資金效率並增加周轉壓力。因此，在維持正常營運的前提下，**這個天數確實是「越短越好」**。
---
### 2. 現金循環為什麼可能會有「負值（小於 0）」？
* **數學公式的推導**：
根據公式，$$\text{現金循環 (CCC)} = \text{平均存貨天數} + \text{平均應收帳款天數} - \text{平均應付帳款天數}$$
當**「平均應付帳款天數」大於「存貨天數與應收天數之和」**時，CCC 就會出現小於 0 的**負值**。
* **強大的上下游議價能力 (Bargaining Power)**：
出現負值代表公司在市場上處於極度強勢的地位：
1. **對下游顧客**：能夠**直接收取現款**，幾乎沒有任何應收帳款（應收天數趨近於零）。
2. **對上游供應商**：可以憑藉規模優勢**大幅賒帳、延遲付款**（應付天數極長）。
* **產業實務案例（數位產品與零售產業）**：
例如數位娛樂產業或直接面對終端消費者的 B2C 零售產業，極容易出現負的現金轉換循環：對消費者端能立刻收到現金，而對上游供應商與合作廠商則可約定較長的付款帳期，達成「先收顧客現款、晚點付供應商貨款」的效果。
### 結論
現金循環天數越短，公司的資金周轉與流動性就越安全。若公司實力強大，能做到「先收顧客現錢、再晚點付供應商貨款」，**現金循環長度確實會呈現負值（小於 0）**，這在財務上是極佳的資金融通狀態，故本題陳述完全正確。</t>
  </si>
  <si>
    <t>實務上常簡化以 EBITDA 來代表 OCF，所估計出的價值為 &lt;span style="color: red; text-decoration: underline;"&gt; 企業或計畫的價值 &lt;/span&gt;</t>
  </si>
  <si>
    <t>這個陳述是**對的**（判斷題應填 **`O`**）。
這題考的是財務管理與企業評價 (Valuation) 中，關於**「現金流量定義觀點」**與**「企業估值主體」**的實務勾稽。
---
### 1. 為什麼實務上常以 EBITDA 代表 OCF？
* **簡化的代理變數 (Proxy)**：在進行初步或快速的企業評價時，高階決策者或分析師為了求快、求直覺，常以 **EBITDA（息稅折舊攤銷前盈餘）** 作為 **OCF（營運現金流量）** 的簡化替代指標。
* **加回非現金支出**：在損益表中計算營業利益 (EBIT) 時已扣除了折舊與攤銷，但由於這兩項費用在當期並沒有實質的現金流出，因此將其加回（即 EBITDA），便能快速約當營運所創造的現金流入。
* **排除應計項目的調整**：雖然最嚴謹的 OCF 必須進一步調整應收、應付等「營運資金 (Working Capital) 的變動」（應計事項 Accruals），但在估計未來時，應收應付的波動影響相對較小，因此實務上常用 EBITDA 進行粗略而快速的估算。
---
### 2. 為什麼估計出的價值是「企業或計畫的價值」？
在財務學中，評估價值的基本核心是「將未來的現金流量進行折現」。而現金流量的觀點決定了所估算出的價值主體：
* **未扣除利息 = 資產（計畫 / 企業）整體現金流**：
EBITDA 與 OCF 在定義上都是**尚未扣除利息費用 (Interest) 與債務還本**的現金流量。利息與還本屬於「融資活動」而非營運活動。
由於債權人此時尚未拿走他們的利息與本金請求權，這些現金流代表的是**整個公司資產端（或計畫整體）**所創造的總營運效益。
* **折現後即為「企業或計畫價值 (Enterprise Value / Project Value)」**：
既然現金流量是「未扣除利息」的資產現金流 (Asset Cash Flow)，當我們使用對應資產風險的折現率（如加權平均資金成本 $WACC$ 或資產要求報酬率 $R_a$）進行折現時，**所估算出來的價值就必然是「企業整體價值 (Enterprise Value, EV)」或「計畫整體價值」**，而非單純的股權價值。
---
### 💡 財務觀念延伸：如何轉換為「股權價值 (Equity Value)」？
* **間接法（由上往下扣除）**：實務上最常見的做法，是先透過 OCF/EBITDA 估算出的整體價值——**「企業價值 (Enterprise Value)」**，接著再**減去負債價值（債權）**，剩下來的部分就是股東所持有的**「股權價值 (Equity Value)」**。
* **直接法**：如果要直接估算股權價值，其期初投資必須僅看股東出資額，且未來的各期現金流量**必須先扣除利息與債務還本（即自由股權現金流量 FCFE）**，再以股權要求報酬率 ($R_e$) 進行折現。
因此，以未扣除利息的 EBITDA 或 OCF 所估算出的價值，在定義上完全屬於**企業或計畫的整體價值**，原陳述完全正確。</t>
  </si>
  <si>
    <t>X, 需同時成立</t>
  </si>
  <si>
    <t>效率市場理論基礎中，「投資人的理性」、「獨立的偏離理性行為」及「專業套利行為存 在」， &lt;span style="color: red; text-decoration: underline;"&gt; 三項條件任一成立 &lt;/span&gt;，效率市場即成立</t>
  </si>
  <si>
    <t>2020/6/14</t>
  </si>
  <si>
    <t>X, 應避免發行新股來支付股利</t>
  </si>
  <si>
    <t>若公司現金不足以維持過去的股利政策，為維持股利發放水準可&lt;span style="color: red; text-decoration: underline;"&gt;增發新股&lt;/span&gt;以取得足夠現金以發放股利。</t>
  </si>
  <si>
    <t>這個陳述是**錯的**（應填 **`X`**）。
### 1. 股利政策與新股發行之財務效應
在實務與財務學理中，若公司本身營運現金流不足以支付現金股利，**應避免增發新股票（外部權益融資）來籌資支付股利**：
1. **高昂交易與發行成本 (Flotation Costs)**：發行新股需支付券商承銷費、會計師與律師費用，用高成本的外部資金來發放股利會損害股東價值。
2. **負面訊號與檸檬市場 (Adverse Selection)**：根據 Ross 訊號理論與融資順位理論，公司在股價被高估時才會發行新股；若市場得知公司發股竟是為了發放股利，會將其解讀為公司營運現金流乾涸的「重大利空訊號」，導致股價下挫。
3. **稀釋效果**：增發新股會稀釋現有股東的每股盈餘 ($EPS$) 與股權比例。原題敘述錯誤。</t>
  </si>
  <si>
    <t>現金股利政策與除息日股價調整</t>
  </si>
  <si>
    <t>X, 越良好</t>
  </si>
  <si>
    <t>現金循環越短時，代表公司流動性狀況&lt;span style="color: red; text-decoration: underline;"&gt;越惡劣&lt;/span&gt;。</t>
  </si>
  <si>
    <t>這個陳述是**錯的**（應填 **`X`**）。
### 1. 現金循環 (Cash Conversion Cycle, CCC) 之定義
$$CCC = \text{平均存貨天數} + \text{平均應收天數} - \text{平均應付天數}$$
現金循環代表公司從實際付出現金採購原料到收回銷售現金的時間差。
---
### 2. 為什麼現金循環越短越好？
* **周轉效率提升**：現金循環越短（甚至為負，如 7-Eleven 或 Dell），代表公司將營運資源轉化為現金的速度極快，營運資金被套牢的風險低。
* **流動性狀況良好**：短 CCC 能為公司提供充沛的流動性與自發性商業信用。原題寫成「越惡劣」與事實完全相反。</t>
  </si>
  <si>
    <t>X, 70 天</t>
  </si>
  <si>
    <t>大豐公司之平均應付帳款天數為15天，平均存貨天數為50天，平均應收帳款天數為20天，則營業循環長度為&lt;span style="color: red; text-decoration: underline;"&gt;55 天&lt;/span&gt;。</t>
  </si>
  <si>
    <t>這個陳述是**錯的**（應填 **`X`**）。
### 1. 營業循環 (Operating Cycle) 公式與計算
$$\text{營業循環長度} = \text{平均存貨天數} + \text{平均應收帳款天數}$$
帶入本題數據：
$$\text{營業循環長度} = 50 + 20 = 70 \text{ 天}$$
---
### 2. 考前避坑提醒：營業循環 vs. 現金循環
* **營業循環**：$50 + 20 = 70$ 天（看貨物與帳款物理流動）。
* **現金循環**：$50 + 20 - 15 = 55$ 天（扣除應付帳款延遲天數）。
原題問的是「營業循環」，誤用現金循環算出 55 天，故為錯誤，正確答案應為 70 天。</t>
  </si>
  <si>
    <t>X, 更差</t>
  </si>
  <si>
    <t>買進買權是認為未來標的物將會&lt;span style="color: red; text-decoration: underline;"&gt;上漲&lt;/span&gt;的行為。</t>
  </si>
  <si>
    <t>這個陳述是**對的**（應填 **`O`**）。
### 1. 買入買權 (Long Call) 之損益分析
買入買權 (Call Option) 持有者享有在到期日以約定執行價格 ($K$) 買入標的資產的權利。
* **報償公式**：$\max(S_T - K, 0) - \text{權利金}$。
* 當未來標的資產價格 $S_T$ **上漲**且超越 $K$ 時，投資人執行買權可獲得無限的上檔獲利。因此，買進買權是標準的看多（看漲）行為。本題敘述完全正確。</t>
  </si>
  <si>
    <t>X, 降低</t>
  </si>
  <si>
    <t>依MM 理論命題 II，在有稅的情形下，公司的加權平均資金成本(Rwacc)隨著槓桿程度&lt;span style="color: red; text-decoration: underline;"&gt;增加而增加&lt;/span&gt;。</t>
  </si>
  <si>
    <t>這個陳述是**錯的**（應填 **`X`**）。
### 1. MM 有稅命題二與 WACC 之消長
在有公司所得稅 ($T_c$) 的 MM 理論中，利息費用具備稅盾節稅效益 ($T_c \times D$)。
* 隨著財務槓桿 ($D/E$) 的增加，便宜且具備節稅效果的負債比重提高。
* 企業的加權平均資金成本 ($R_{WACC}$) 會隨著槓桿程度增加而**逐漸降低 (下降)**，公司價值 $V_L$ 隨之提升。原題寫成「增加而增加」完全相反，故為錯誤。</t>
  </si>
  <si>
    <t>應付所得稅對營運資金而言為一個&lt;span style="color: red; text-decoration: underline;"&gt;減項&lt;/span&gt;。</t>
  </si>
  <si>
    <t>這個陳述是**對的**（應填 **`O`**）。
### 1. 淨營運資金 (NWC) 結構分析
$$NWC = \text{流動資產} - \text{流動負債}$$
應付所得稅 (Income Taxes Payable) 屬於企業短期內必須支付的**流動負債**。
在計算淨營運資金時，流動負債屬於減項（侵蝕流動性），因此應付所得稅確實是營運資金的**減項**。本題敘述正確。</t>
  </si>
  <si>
    <t>X, 公司總負債</t>
  </si>
  <si>
    <t>對股份有限公司股東而言，相當於擁有一個買入選擇權(Call Option)，其執行價格(StrikePrice)為&lt;span style="color: red; text-decoration: underline;"&gt;公司總資產&lt;/span&gt;。</t>
  </si>
  <si>
    <t>這個陳述是**錯的**（應填 **`X`**）。
### 1. Merton 公司選擇權結構模型
在 Merton 模型中，股份有限公司的股權價值可以完美類比為一個買入選擇權 (Call Option)：
* **標的資產 ($S_T$)**：公司總資產價值 ($V_T$)。
* **執行價格 ($X$)**：**公司總負債面額 ($D$)**。
股東在到期時若資產大於負債 ($V_T &gt; D$) 則執行買權（還清負債拿走剩餘資產）；若資產小於負債則宣告破產不執行。執行價格是「總負債」而非「總資產」。原題敘述錯誤。</t>
  </si>
  <si>
    <t>X, 價值型企業</t>
  </si>
  <si>
    <t>&lt;span style="color: red; text-decoration: underline;"&gt;成長型企業&lt;/span&gt;較適用高股利政策，因為其可供再投資而創造盈餘成長的機會很少。</t>
  </si>
  <si>
    <t>這個陳述是**錯的**（應填 **`X`**）。
### 1. 企業生命週期與股利政策配比
1. **成長型企業 (Growth Firms)**：擁有大量淨現值為正 ($NPV &gt; 0$) 的再投資機會，需要保留盈餘充當內部資金，因此適用**低股利或零股利政策**。
2. **成熟型/價值型企業 (Value / Mature Firms)**：營運現金流充沛，但內部高回報再投資機會減少，若保留過多現金易產生代理成本，因此最適用**高股利發放政策**。原題主體錯稱為成長型企業。</t>
  </si>
  <si>
    <t>要消除暫時性現金赤字的最普遍方法則是使用&lt;span style="color: red; text-decoration: underline;"&gt;短期借款&lt;/span&gt;</t>
  </si>
  <si>
    <t>這個陳述是**對的**（應填 **`O`**）。
### 1. 短期融資策略與季節性現金赤字
企業因季節性波動或應收帳款時差產生的**暫時性/季節性現金赤字**，最普遍且具備成本效益的解決管道是使用**短期借款 (Short-term Debt / Bank Credit)** 或透支額度。
* 用長期負債或增發新股來融通暫時性赤字會產生長期資金閒置與高昂發行成本。本題敘述完全正確。</t>
  </si>
  <si>
    <t>11_短期融資政策_短期融資策略</t>
  </si>
  <si>
    <t>企業短期融資策略與資產負債配合原則</t>
  </si>
  <si>
    <t>X, 長期負債增加，權益增加，固定資產減少</t>
  </si>
  <si>
    <t>現金的來源可為&lt;span style="color: red; text-decoration: underline;"&gt;權益減少，固定資產增加&lt;/span&gt;或淨營運的非現金組成部分的減少。</t>
  </si>
  <si>
    <t>這個陳述是**錯的**（應填 **`X`**）。
### 1. 現金來源 (Sources of Cash) 原則
依據資產負債表平衡原理：
* **現金來源（帶來現金流入）**：
1. **負債增加**（如長期負債增加/借錢）。
2. **權益增加**（如現金增資）。
3. **非現金資產減少**（如出售固定資產、變現存貨/應收帳款）。
原題將「權益減少、固定資產增加」錯稱為現金來源（這兩者實際上是**現金用途/流出**），故為錯誤。</t>
  </si>
  <si>
    <t>X, 資產分割 (Equity Carve-out / Spin-off)</t>
  </si>
  <si>
    <t>&lt;span style="color: red; text-decoration: underline;"&gt;權益分割&lt;/span&gt;是指公司通常會先另外建立一個新的子公司，而母公司股東取得新的子公司的股權。</t>
  </si>
  <si>
    <t>這個陳述是**錯的**（應填 **`X`**）。
### 1. 撤資與重整型態對比
1. **股票派生/資產分割 (Spin-off)**：母公司建立新子公司，並將子公司的股票按比例無償發放給**母公司現有股東**（股東結構不變）。
2. **權益分割 (Equity Carve-out)**：母公司將子公司的部分股份透過 IPO 向**公開市場外部投資人**出售以籌集現金。原題描述之機制屬於 Spin-off / 資產分割。</t>
  </si>
  <si>
    <t>4_資本支出預算決策_撤資與重整</t>
  </si>
  <si>
    <t>企業併購綜效、LBO與公司分割</t>
  </si>
  <si>
    <t>X, 長期負債/資產負債配合原則</t>
  </si>
  <si>
    <t>在實際世界中，長期資產以&lt;span style="color: red; text-decoration: underline;"&gt;短期負債&lt;/span&gt;來融資很適當。</t>
  </si>
  <si>
    <t>這個陳述是**錯的**（應填 **`X`**）。
### 1. 期限配對原則 (Maturity Matching Principle)
財務管理強調「以長融長，以短融短」的期限配對原則：
* **長期資產（廠房設備）**：回收期長，應以**長期負債或權益資金**融資。
* 若以「以短融長」（以短期負債融通長期資產），企業將面臨巨大的**再融資風險 (Refinancing Risk)** 與流動性危機（若銀行不續約即陷入破產）。原題敘述錯誤。</t>
  </si>
  <si>
    <t>淨營運資金等於&lt;span style="color: red; text-decoration: underline;"&gt;長期負債加上股東權益再減去固定資產&lt;/span&gt;。</t>
  </si>
  <si>
    <t>這個陳述是**對的**（應填 **`O`**）。
### 1. 資產負債表恆等式推導
由資產負債表基本關係：
$$\text{流動資產 (CA)} + \text{固定資產 (FA)} = \text{流動負債 (CL)} + \text{長期負債 (LTD)} + \text{股東權益 (E)}$$
移項整理淨營運資金 ($NWC = CA - CL$)：
$$CA - CL = LTD + E - FA$$
因此，**淨營運資金等於長期負債加上股東權益再減去固定資產**。本題數學推導完全正確。</t>
  </si>
  <si>
    <t>應收帳款融資屬於&lt;span style="color: red; text-decoration: underline;"&gt;有擔保融資&lt;/span&gt;的其中一種方式。</t>
  </si>
  <si>
    <t>這個陳述是**對的**（應填 **`O`**）。
### 1. 應收帳款融資 (Accounts Receivable Financing)
短期有擔保融資 (Secured Short-term Financing) 主要包括：
1. **應收帳款質押 (Pledging)**：以應收帳款作為擔保品向金融機構質押借款。
2. **應收帳款讓售 (Factoring)**：將應收帳款出售給保理商。
兩者皆是以營運資產作為擔保的典型**有擔保融資**方式。本題敘述正確。</t>
  </si>
  <si>
    <t>公司進行破產宣告的好處，其中「&lt;span style="color: red; text-decoration: underline;"&gt;須經1/2 的債權人且擁有2/3 債權的同意&lt;/span&gt;」此部分一旦成立即表示以公司剩餘之資產分配給各債權人，其餘尚欠之金額，均一筆勾銷，債權人不得再為追討。</t>
  </si>
  <si>
    <t>這個陳述是**對的**（應填 **`O`**）。
### 1. 破產重組與和解程序 (Bankruptcy Reorganization)
在法定破產重組（如美國破產法 Chapter 11）中，重組計畫需通過法定債權人門檻同意（人數超過 1/2 且代表債權金額超過 2/3）。一旦法院核可重組方案，債務將依法調降裁減，剩餘未清償債務依法一筆勾銷，保護企業免受個別債權人追討封鎖。本題敘述正確。</t>
  </si>
  <si>
    <t>X, 行政費用→員工→消費者→政府→已擔保和未擔保債權人→特別股股東</t>
  </si>
  <si>
    <t>破產清算收益優先順位分配依序為&lt;span style="color: red; text-decoration: underline;"&gt;會計師、律師行政費用→員工→消費者→已擔保和未擔保債權人→特別股股東→政府&lt;/span&gt;。</t>
  </si>
  <si>
    <t>這個陳述是**錯的**（應填 **`X`**）。
### 1. 絕對優先原則 (Absolute Priority Rule, APR) 清算順序
破產清算時，清算收益之法定分配順序嚴格如下：
1. **破產行政費用**（律師、會計師、清算人費用）。
2. **員工薪資與福利**。
3. **消費者預付款項**。
4. **政府稅捐**。
5. **已擔保與未擔保債權人**。
6. **特別股股東** -&gt; **普通股股東**。
原題將「政府」放於最後係屬順序錯誤。</t>
  </si>
  <si>
    <t>X, 宣告日、除息日、登記日、付息日</t>
  </si>
  <si>
    <t>股利支付的程序，依日期先後順序為&lt;span style="color: red; text-decoration: underline;"&gt;宣告日、登記日、除息日、付息日&lt;/span&gt;。</t>
  </si>
  <si>
    <t>這個陳述是**錯的**（應填 **`X`**）。
### 1. 股利支付四大日期順序
正確的日期先後順序嚴格為：
$$\text{宣告日 (Declaration)} \longrightarrow \text{除息日 (Ex-Dividend)} \longrightarrow \text{登記日 (Record)} \longrightarrow \text{付息日 (Payment)}$$
由於證券市場有 $T+2$ 交割時差，除息日必定排在登記日之前。原題將登記日錯放在除息日之前。</t>
  </si>
  <si>
    <t>X, 新創合併案 (Consolidation)</t>
  </si>
  <si>
    <t>&lt;span style="color: red; text-decoration: underline;"&gt;吸收合併案&lt;/span&gt;是指合併的兩間公司在法律上同時消滅，並另行組成一間新公司。</t>
  </si>
  <si>
    <t>這個陳述是**錯的**（應填 **`X`**）。
### 2. 併購法定型態對比
1. **吸收合併 (Merger / Absorption)**：一家公司存續，另一家公司解散消滅。
2. **新創合併 (Consolidation)**：參與合併的兩家公司在法律上**同時消滅**，並另外設立一家全新的公司。原題描述屬於「新創合併案」。</t>
  </si>
  <si>
    <t>MM 無稅下，改變公司的資本結構，&lt;span style="color: red; text-decoration: underline;"&gt;不會影響公司價值，也就是資本結構無關論&lt;/span&gt;。</t>
  </si>
  <si>
    <t>這個陳述是**對的**（應填 **`O`**）。
### 1. MM 第一命題無稅模型 (MM Proposition I without Taxes)
莫迪尼亞尼-米勒指出，在無稅完美市場中，公司價值僅由資產獲利能力與風險決定：
$$V_L = V_U$$
切分割大圓餅（負債與股權配比）並不改變圓餅總大小。本題敘述完全正確。</t>
  </si>
  <si>
    <t>對負債的使用進行限制，其主要目的在於希望&lt;span style="color: red; text-decoration: underline;"&gt;降低財務危機成本&lt;/span&gt;。</t>
  </si>
  <si>
    <t>這個陳述是**對的**（應填 **`O`**）。
### 1. 債務限制性條款 (Protective Covenants)
債權人或公司在債券契約中設定對舉債上限、股利發放與資產質押的限制，核心目的在於防止管理層過度槓桿，進而**降低企業陷入破產與財務危機的成本**。本題敘述正確。</t>
  </si>
  <si>
    <t>X, 不考慮代理成本與財務危機成本之假設下</t>
  </si>
  <si>
    <t>&lt;span style="color: red; text-decoration: underline;"&gt;在考慮&lt;/span&gt;「代理成本」及「財務危機與破產成本」存在的條件下，使公司價值最大化的資本結構就是股東利益最大化的資本結構。</t>
  </si>
  <si>
    <t>這個陳述是**錯的**（應填 **`X`**）。
### 1. 完美市場假設下之價值對等
只有在**不考慮**代理成本與破產成本等市場摩擦力的條件下（如 MM 原型模型），公司價值極大化才會完全等同於股東財富極大化。若考慮上述成本，破產費用會瓜分公司價值，兩者不再完全等同。原題寫成「在考慮」係屬錯誤。</t>
  </si>
  <si>
    <t>X, 不能為購併者創造價值</t>
  </si>
  <si>
    <t>現實世界中大部分購併案&lt;span style="color: red; text-decoration: underline;"&gt;能為購併者創造價值&lt;/span&gt;。</t>
  </si>
  <si>
    <t>這個陳述是**錯的**（應填 **`X`**）。
### 1. 併購實證研究 (M&amp;A Empirical Evidence)
大量實證研究顯示：
1. **被購併公司（目標公司）股東**：平均能獲得顯著的溢價（獲利）。
2. **主購併公司（買方）**：因為支付過高溢價、文化整合失敗或管理層帝國擴張，**大部分無法為購併者股東創造價值**（股價波動持平或微負）。原題敘述錯誤。</t>
  </si>
  <si>
    <t>4_資本支出預算決策_購併對財務面的影響</t>
  </si>
  <si>
    <t>若MM 的完美市場存在時，股利政策並不會影響到公司價值。因為投資者會使用&lt;span style="color: red; text-decoration: underline;"&gt;自製股利&lt;/span&gt;來為自己創造所偏好的現金流量。</t>
  </si>
  <si>
    <t>這個陳述是**對的**（應填 **`O`**）。
### 1. 自製股利 (Homemade Dividends) 原理
在 MM 完美市場中，投資人可透無成本地賣出股票或將股利再買回股票（自製股利）來創造偏好的現金流，因此公司股利政策對公司價值完全無影響。本題敘述正確。</t>
  </si>
  <si>
    <t>X, 分子應為 (權益市值 + 負債市值)</t>
  </si>
  <si>
    <t>Tobin'sQ = &lt;span style="color: red; text-decoration: underline;"&gt;權益市值−負債市值&lt;/span&gt; / 總資產重置成本，當Tobin’s Q&lt;1時，表示為好的購併標的。</t>
  </si>
  <si>
    <t>這個陳述是**錯的**（應填 **`X`**）。
### 1. Tobin's Q 公式修正
$$\text{Tobin's Q} = \frac{\text{企業總市值 (權益市值 } + \text{ 負債市值)}}{\text{總資產重置成本}}$$
原題公式分子錯寫為「權益市值 － 負債市值」（應為 **＋**）。當 $Q &lt; 1$ 時代表買下整家公司比重新造船/建廠還便宜，是優良併購標的。</t>
  </si>
  <si>
    <t>X, 同源式合併 (Market Extension / Concentric)</t>
  </si>
  <si>
    <t>兩家處在相同產業中，但所經營的業務不太一樣，且沒有業務往來公司的結合稱為&lt;span style="color: red; text-decoration: underline;"&gt;複合式合併&lt;/span&gt;</t>
  </si>
  <si>
    <t>這個陳述是**錯的**（應填 **`X`**）。
### 1. 併購業務相關性分類
1. **同源式合併 (Concentric / Market Extension)**：兩家公司處於相同大產業（如金融業下的銀行與壽險），但業務不同且無上下游關係。
2. **複合式/混合合併 (Conglomerate)**：兩家公司處於完全不相干的跨領域產業。原題屬同源式合併。</t>
  </si>
  <si>
    <t>X, 資產重整 (Asset Restructuring)</t>
  </si>
  <si>
    <t>公司處理財務危機的方式中，減少資本支出及研發支出的方式稱為&lt;span style="color: red; text-decoration: underline;"&gt;財務重整&lt;/span&gt;。</t>
  </si>
  <si>
    <t>這個陳述是**錯的**（應填 **`X`**）。
### 1. 資產重整 vs. 財務重整
1. **資產重整 (Asset Restructuring)**：針對資產與營運端處理，如裁員、關廠、賣資產、**減少 CapEx 與 R&amp;D 支出**。
2. **財務重整 (Financial Restructuring)**：針對負債與股權端處理，如債務展延、債轉股、減資。原題屬於資產重整。</t>
  </si>
  <si>
    <t>企業進行購併後，EPS 上升除了顯示該購併形成綜效之外，也有可能是&lt;span style="color: red; text-decoration: underline;"&gt;會計幻覺&lt;/span&gt;。</t>
  </si>
  <si>
    <t>這個陳述是**對的**（應填 **`O`**）。
### 1. 併購中之每股盈餘 Bootstrapping 效應 (會計幻覺)
當高 P/E（高本益比）公司以發行股票方式收購低 P/E 公司時，即使兩者併購完全沒有產生任何實質營運綜效，併購後算出來的合併 $EPS$ 依然會純粹因會計數學股數變動而上升。這被稱為**會計幻覺 (Accounting Illusion)**。本題敘述正確。</t>
  </si>
  <si>
    <t>MM 理論命題二顯示，在無稅的情形下加權資金成本(WACC)&lt;span style="color: red; text-decoration: underline;"&gt;不會隨資本結構的改變而變動&lt;/span&gt;。</t>
  </si>
  <si>
    <t>這個陳述是**對的**（應填 **`O`**）。
### 1. MM 無稅命題二與 WACC 恆定性
在無稅完美市場中，隨舉債增加，便宜負債的權重增加效益，會被權益要求報酬率 $R_E$ 的上升（財務風險增加）剛好完全抵消：
$$R_{WACC} = R_0 \quad (\text{恆等於無槓桿資產成本})$$
因此 $WACC$ 保持恆定不變。本題敘述完全正確。</t>
  </si>
  <si>
    <t>反購併策略中，焦土策略、毒藥丸計畫等，屬於&lt;span style="color: red; text-decoration: underline;"&gt;降低收購者的收購收益或是增加收購風險&lt;/span&gt;的常見手段。</t>
  </si>
  <si>
    <t>這個陳述是**對的**（應填 **`O`**）。
### 1. 反併購防禦機制 (Anti-takeover Defenses)
1. **毒藥丸計畫 (Poison Pill)**：稀釋買方股權。
2. **焦土策略 (Scorched Earth)**：出售公司最精華資產（皇冠上的明珠）。
核心目的皆在於降低收購收益或大幅拉高收購代價與風險，以擊退惡意併購者。本題敘述正確。</t>
  </si>
  <si>
    <t>X, 完全/全部滿足</t>
  </si>
  <si>
    <t>絕對優先原則(APR)是指第一順位求償權&lt;span style="color: red; text-decoration: underline;"&gt;部分&lt;/span&gt;滿足後，次順位才能收取任何東西。</t>
  </si>
  <si>
    <t>這個陳述是**錯的**（應填 **`X`**）。
### 1. 絕對優先原則 (Absolute Priority Rule, APR)
APR 規定在破產清算中，必須等優先順位的求償權獲得**100% 完全/全部清償**後，次順位求償權人才能分配到任何剩餘資產。原題錯寫為「部分」。</t>
  </si>
  <si>
    <t>直接破產成本是指&lt;span style="color: red; text-decoration: underline;"&gt;律師、會計師的費用&lt;/span&gt;，間接破產成本則是因財務危機增加的營運與財務成本。</t>
  </si>
  <si>
    <t>這個陳述是**對的**（應填 **`O`**）。
### 1. 直接與間接破產成本之定義
* **直接破產成本**：破產法律程序直接發生的律師、會計師與法院行政費用。
* **間接破產成本**：財務危機引起的客戶流失、供應商抽信用與營運中斷成本。本題敘述完全正確。</t>
  </si>
  <si>
    <t>股利無關論主張股東價值與股利政策&lt;span style="color: red; text-decoration: underline;"&gt;無關&lt;/span&gt;。</t>
  </si>
  <si>
    <t>這個陳述是**對的**（應填 **`O`**）。
### 1. MM 股利無關理論
在完美市場中，企業價值與股東總財富由投資決策（資產獲利）決定，股利發放多寡不影響公司總價值與股東總財富。本題敘述正確。</t>
  </si>
  <si>
    <t>X, 外部成長</t>
  </si>
  <si>
    <t>購併的意義在於希望藉由此方式來控制資源，達到&lt;span style="color: red; text-decoration: underline;"&gt;內部成長&lt;/span&gt;目的。</t>
  </si>
  <si>
    <t>這個陳述是**錯的**（應填 **`X`**）。
### 1. 內部成長 vs. 外部成長
1. **內部成長 (Internal Growth)**：靠內部自行研發、招募人才與擴建廠房。
2. **外部成長 (External Growth)**：透過**併購 (M&amp;A)** 快速取得現有企業的技術、專利、通路與產能。原題將併購歸為內部成長屬定義錯誤。</t>
  </si>
  <si>
    <t>X, 營運合併 (Operating Merger)</t>
  </si>
  <si>
    <t>&lt;span style="color: red; text-decoration: underline;"&gt;財務合併&lt;/span&gt;的目的著重在營運規模產生的經濟利益。</t>
  </si>
  <si>
    <t>這個陳述是**錯的**（應填 **`X`**）。
### 1. 營運合併 vs. 財務合併
* **營運合併**：著重於營運規模經濟、降低生產成本與提升本業綜效。
* **財務合併**：著重於分散財務風險、節稅或撿便宜資產。原題屬營運合併。</t>
  </si>
  <si>
    <t>X, 傾向少舉債</t>
  </si>
  <si>
    <t>若調降公司營利事業所得稅，此舉將使公司&lt;span style="color: red; text-decoration: underline;"&gt;傾向舉債&lt;/span&gt;，而使公司最適資本結構下降。</t>
  </si>
  <si>
    <t>這個陳述是**錯的**（應填 **`X`**）。
### 1. 稅率與利息稅盾收益之關聯
利息稅盾價值為 $T_c \times D$。
* 當政府**調降公司所得稅率 ($T_c \downarrow$)** 時，舉債帶來的節稅好處（稅盾效益）隨之減少。
* 這會降低舉債的誘因，使企業**傾向少舉債**（降低負債比例）。原題寫成「傾向舉債」係屬錯誤。</t>
  </si>
  <si>
    <t>債權人希望&lt;span style="color: red; text-decoration: underline;"&gt;避免訴訟成本&lt;/span&gt;，是絕對優先原則(APR)被違反的原因之一。</t>
  </si>
  <si>
    <t>這個陳述是**對的**（應填 **`O`**）。
### 1. APR 被違反之實務原因
實務上破產清算常出現高級債權人自願讓渡少部分資產給普通股股東（違反 APR）：
* 原因在於優先債權人希望能**避免冗長昂貴的法律訴訟與時間成本**，促進破產和解快速通過。本題敘述正確。</t>
  </si>
  <si>
    <t>X, 流量上的支付不能</t>
  </si>
  <si>
    <t>當公司現金流量不足以支付需要的款項時，稱為基於&lt;span style="color: red; text-decoration: underline;"&gt;存量上支付不能&lt;/span&gt;。</t>
  </si>
  <si>
    <t>這個陳述是**錯的**（應填 **`X`**）。
### 1. 存量 vs. 流量支付不能 (Insolvency)
1. **流量上的支付不能 (Flow Insolvency)**：企業營運現金流量不足以支付當期到期的利息或款項（周轉不靈）。
2. **存量上的支付不能 (Stock Insolvency)**：企業總負債大於總資產（淨值為負，資不抵債）。原題屬於流量上的支付不能。</t>
  </si>
  <si>
    <t>X, 融資順位理論沒有理想負債水準</t>
  </si>
  <si>
    <t>&lt;span style="color: red; text-decoration: underline;"&gt;融資順位理論及取捨(MM)理論&lt;/span&gt;皆認為有「理想的負債水準」。</t>
  </si>
  <si>
    <t>這個陳述是**錯的**（應填 **`X`**）。
### 1. 最適資本結構論點對比
1. **權衡理論 (Trade-off / MM Theory)**：認為存在**最適/理想負債水準**（稅盾與破產成本平衡點）。
2. **融資順位理論 (Pecking Order Theory)**：認為企業**不存在**固定的目標/理想負債水準，負債比例僅是企業內部盈餘與投資需求的累積結果。原題敘述錯誤。</t>
  </si>
  <si>
    <t>X, 價值越低，越不容易賺錢</t>
  </si>
  <si>
    <t>買權執行價格越高，其&lt;span style="color: red; text-decoration: underline;"&gt;價值越高，越容易賺錢&lt;/span&gt;。</t>
  </si>
  <si>
    <t>這個陳述是**錯的**（應填 **`X`**）。
### 1. 買權 (Call Option) 與執行價格 ($K$) 之關係
買權報償為 $\max(S_T - K, 0)$。
* 執行價格 $K$ 越高，代表買方買入標的資產的成本越高。
* 越難達到獲利門檻（$S_T &gt; K$），因此買權的**價值越低，越不容易賺錢**。原題敘述相反。</t>
  </si>
  <si>
    <t>X, 短期借款</t>
  </si>
  <si>
    <t>折衷的短期融資策略中，公司維持一流動性存底以融通於流動資產季節變異中的最初需求，當此存底耗盡，常採增加&lt;span style="color: red; text-decoration: underline;"&gt;長期借款&lt;/span&gt;方式解決。</t>
  </si>
  <si>
    <r>
      <rPr>
        <rFont val="Microsoft JhengHei"/>
        <color theme="1"/>
        <sz val="12.0"/>
      </rPr>
      <t xml:space="preserve">這個陳述是**錯的**（判斷題應填 **`X`**）。
這題考的是短期融資與營運資金管理中的**「短期融資策略 (Short-term Financing Policy)」**與季節性資金調度機制。
在財務管理中，企業因應季節性變異的流動資產（如旺季時增加的存貨與應收帳款），其資金籌措策略主要分為三種。無論從哪一個維度分析，原敘述主張「常增加長期借款方式解決」皆屬錯誤：
---
### 1. 理論架構：折衷短期融資策略的運作機制
**折衷短期融資策略 (Compromise Short-term Financing Policy)** 是介於「保守（彈性）策略」與「激進（緊縮）策略」之間的平衡配置：
* **長期資金（長期負債 + 股東權益）**：用於支應**「固定資產」**與**「永久性流動資產 (Permanent Current Assets)」**。
* **短期資金（短期借款）**：用於支應**「季節性流動資產 (Seasonal Current Assets)」**的波動需求。
---
### 2. 雙重邏輯剖析：為什麼「增加長期借款」是錯的？
#### 邏輯 A：當季節性流動資產「耗盡時」（淡季 / 季節性低谷）
* **財務狀態**：在淡季時，存貨已銷售變現、應收帳款已收回，季節性流動資產降至低點。
* **資金決策**：此時企業會累積**現金盈餘 (Excess Cash)**。在折衷策略下，企業會將閒置現金用於**投資「短期有價證券 (Marketable Securities)」**或**償還既有的短期借款**，並不會在此時增加長期借款。
#### 邏輯 B：當流動資產擴張導致「現金耗盡時」（旺季 / 季節性高峰）
* **財務狀態**：在旺季時，企業為備料與擴大賒銷，大量資金積壓於存貨與應收帳款中，手頭現金消耗完畢並產生短期週轉缺口。
* **資金決策**：為因應此短期資金缺口，企業應透過**「增加短期借款 (Short-term Borrowing)」**來支應，待淡季款項回收後即可結清。若以增加「長期借款」因應短期需求，將導致淡季時資金長期閒置，徒增不必要的資金成本。
---
### </t>
    </r>
    <r>
      <rPr>
        <rFont val="Segoe UI Symbol"/>
        <color theme="1"/>
        <sz val="12.0"/>
      </rPr>
      <t>💡</t>
    </r>
    <r>
      <rPr>
        <rFont val="微軟正黑體"/>
        <color theme="1"/>
        <sz val="12.0"/>
      </rPr>
      <t xml:space="preserve"> 短期融資策略類型對照表
| 短期融資策略類型 | 長期資金（長債 + 權益）支應對象 | 季節性資金缺口（旺季）支應方式 | 季節性現金盈餘（淡季）處置方式 |
| :--- | :--- | :--- | :--- |
| **保守 / 彈性型策略** &lt;br&gt;*(Flexible Policy)* | 固定資產 + 永久性流動資產 + **季節性流動資產高峰** | 不需借款（長期資金充裕） | 持有大量短期有價證券與現金 |
| **激進 / 緊縮型策略** &lt;br&gt;*(Restrictive Policy)* | 僅固定資產（部分永久性資產亦依賴短債） | **大量短期借款** | 幾無現金盈餘，不持有有價證券 |
| **折衷 / 穩健型策略** &lt;br&gt;*(Compromise Policy)* | 固定資產 + 永久性流動資產 | **增加短期借款**以度過旺季 | **投資短期有價證券**或償還短期借款 |
### 結論
在折衷短期融資策略下，面對季節性流動資產變動所產生的資金波動，企業主要透過**「短期借款與短期有價證券的相互調節」**來因應，而非增加長期借款，故原陳述為錯誤。</t>
    </r>
  </si>
  <si>
    <t>間接破產成本包含於財務危機成本中，且&lt;span style="color: red; text-decoration: underline;"&gt;間接破產成本是指因財務危機而增加的營運與財務成本&lt;/span&gt;。</t>
  </si>
  <si>
    <t>這個陳述是**對的**（應填 **`O`**）。
### 1. 間接破產成本之定義
財務危機成本包含直接與間接破產成本。間接破產成本即是指企業因陷入財務危機而產生的營運混亂、客戶流失、供應商抽信用與高額融資貼水成本。本題敘述完全正確。</t>
  </si>
  <si>
    <t>預先包裝破產的最主要好處是&lt;span style="color: red; text-decoration: underline;"&gt;使抵抗者同意破產之重組&lt;/span&gt;。</t>
  </si>
  <si>
    <t>這個陳述是**對的**（應填 **`O`**）。
### 1. 預先包裝破產 (Prepackaged Bankruptcy)
企業在申請破產前先與主要債權人達成重組協議。其主要優點是能利用破產法門檻（超過 2/3 同意）強制約束少數少數抵抗/反對的債權人，加速重組完成。本題敘述正確。</t>
  </si>
  <si>
    <t>期貨合約與遠期合約持有人的相同點為&lt;span style="color: red; text-decoration: underline;"&gt;有義務在未來某一時點，依約定價格買賣某種標的物&lt;/span&gt;。</t>
  </si>
  <si>
    <t>這個陳述是**對的**（應填 **`O`**）。
### 1. 期貨 (Futures) 與遠期 (Forwards) 之共同契約性質
期貨與遠期合約皆屬於雙方約定於未來的特定日期，按約定價格買賣一定數量標的資產的衍生性商品，買賣雙方皆負有**履約之強制義務**（不同於選擇權的權利性）。本題敘述完全正確。</t>
  </si>
  <si>
    <t>當投資人認為標的物價格會上漲時會傾向&lt;span style="color: red; text-decoration: underline;"&gt;買”買權(call option)&lt;/span&gt;。</t>
  </si>
  <si>
    <t>這個陳述是**對的**（應填 **`O`**）。
### 1. 買入買權 (Long Call) 之看漲交易策略
當預期標的物資產價格未來上漲時，購買買權 (Call Option) 可以用固定的執行價格履約買入資產，享受價格上漲之無限獲利。本題敘述完全正確。</t>
  </si>
  <si>
    <t>2020/5/11</t>
  </si>
  <si>
    <t>X, 個別風險（非系統風險）</t>
  </si>
  <si>
    <t>資本資產訂價模型(CAPM)中 ， 投資人可充分分散資產的 &lt;span style="color: red; text-decoration: underline;"&gt;系統風險&lt;/span&gt; ，為重要假設之一。</t>
  </si>
  <si>
    <t>這個陳述是**錯的**（應填 **`X`**）。
### 1. CAPM 核心分散化假設解析
在資本資產定價模型 (CAPM) 中，總風險被劃分為兩大部分：
$$\text{總風險} = \text{系統性風險 (市場風險)} + \text{非系統性風險 (個別/公司特定風險)}$$
* **非系統性風險（個別風險）**：可以透過多角化（持有包含多種資產的投資組合）而被**完全分散與消除**。因此，資本市場**不會**給予個別風險任何風險貼水補償。
* **系統性風險（市場風險，以 $\beta$ 衡量）**：源於總體經濟因素（如通膨、利率政策、地緣政治），**無法透過投資組合分散**。
因此，CAPM 假設投資人可充分分散的是**個別風險（非系統風險）**，而非系統風險。原題劃線處錯寫為系統風險，故為錯誤。</t>
  </si>
  <si>
    <t>X, BBB- 或 Baa3 以上</t>
  </si>
  <si>
    <t>評等為 BB 或 Ba 級以上的債券為 &lt;span style="color: red; text-decoration: underline;"&gt;投資級債券&lt;/span&gt;。</t>
  </si>
  <si>
    <t>這個陳述是**錯的**（應填 **`X`**）。
### 1. 債券信用評等分類標準
信用評等機構（如 S&amp;P、Fitch 與 Moody's）將固定收益債券劃分為兩大類：
1. **投資級債券 (Investment Grade Bonds)**：
* 信用風險極低，違約率小。
* **評等標準**：S&amp;P / Fitch 評等在 **BBB- 以上**；Moody's 評等在 **Baa3 以上**。
2. **投機級 / 垃圾債券 / 高收益債 (Speculative / Junk / High-Yield Bonds)**：
* 違約風險顯著拉高，需給予高殖利率補償。
* **評等標準**：S&amp;P 評等在 **BB+ 以下**；Moody's 評等在 **Ba1 以下**（包含 BB 與 Ba 級）。
原題將 BB 或 Ba 級歸為投資級債券屬分類錯誤。</t>
  </si>
  <si>
    <t>其他條件相同下，長期債券的價格風險較短期債券為 &lt;span style="color: red; text-decoration: underline;"&gt;高&lt;/span&gt;。</t>
  </si>
  <si>
    <t>這個陳述是**對的**（應填 **`O`**）。
### 1. 利率風險與存續期間 (Duration)
債券價格與市場利率呈反向變動關係：
* **價格風險 (Price Risk / Interest Rate Risk)**：是指市場利率上漲導致債券現值價格下跌的風險。
* **存續期間 (Duration)**：衡量債券價格對利率變動敏感度的指標。債券到期期限 (Maturity) 越長，其存續期間越大，價格對利率波動的敏感度越高。
因此，在其他條件相同下，長期債券的價格風險顯著**高於**短期債券。本題敘述完全正確。</t>
  </si>
  <si>
    <t>X, 資本結構</t>
  </si>
  <si>
    <t>&lt;span style="color: red; text-decoration: underline;"&gt;資產結構&lt;/span&gt; 為企業資金的來源，包括各種流動負債、長期負債與權益。</t>
  </si>
  <si>
    <t>這個陳述是**錯的**（應填 **`X`**）。
### 1. 資本結構 vs. 資產結構之對比
在資產負債表 ($B/S$) 的架構下：
1. **資本結構 (Capital Structure)**：
* 對應資產負債表的**右半邊（負債與股東權益）**。
* 代表企業**資金的籌集來源**與配比，包含流動負債、長期負債與股東權益。
2. **資產結構 (Asset Structure)**：
* 對應資產負債表的**左半邊（資產面）**。
* 代表企業**資金的配置用途**，如流動資產與固定資產的比例。
原題將資金來源錯稱為「資產結構」，應修正為「資本結構」。</t>
  </si>
  <si>
    <t>X, 不尋常不等於有問題/不一定</t>
  </si>
  <si>
    <t>公司應收帳款不尋常大幅上升 &lt;span style="color: red; text-decoration: underline;"&gt;表示公司經營有問題發生&lt;/span&gt;。</t>
  </si>
  <si>
    <t>這個陳述是**錯的**（應填 **`X`**）。
### 1. 財報閱讀三大注意事項
課堂講義明確指出：**「不尋常不等於有問題」**。
---
### 2. 應收帳款不尋常上升的可能成因
1. **正面/中性原因**：公司營收爆發式成長，或公司主動放寬授信條件以搶占市場占有率。
2. **負面原因**：客戶品質惡化、收帳效率下降，或公司進行渠道塞貨 (Channel Stuffing) / 作假帳。
因此，應收帳款不尋常上升僅是一個**警訊符號 (Red Flag)**，需要進一步深入稽核原因，不能直接定性為「經營一定有問題」。</t>
  </si>
  <si>
    <t>2_基本財務報表與分析_閱讀財務報表應注意事項</t>
  </si>
  <si>
    <t>公司經理人的目的是追求 &lt;span style="color: red; text-decoration: underline;"&gt;股東價值極大化&lt;/span&gt;。</t>
  </si>
  <si>
    <t>這個陳述是**對的**（應填 **`O`**）。
### 1. 公司理財的終極經營目標
在財務管理中，企業的終極經營目標是**極大化股東價值 (Maximize Shareholder Wealth)**。
---
### 2. 價值極大化之傳遞路徑
$$\text{增加股東價值} \implies \text{增加公司價值} \implies \text{增加企業未來正現金流量}$$
經理人作為股東的代理人，應追求現有股東每股市價與公司長期價值的極大化。本題敘述完全正確。</t>
  </si>
  <si>
    <t>X, 流動資產減去流動負債</t>
  </si>
  <si>
    <t>淨營運資金（Working Capital）即是指 &lt;span style="color: red; text-decoration: underline;"&gt;流動資產加上流動負債&lt;/span&gt;。</t>
  </si>
  <si>
    <t>這個陳述是**錯的**（應填 **`X`**）。
### 1. 淨營運資金 (Net Working Capital, NWC) 定義
$$NWC = \text{流動資產 (Current Assets)} - \text{流動負債 (Current Liabilities)}$$
淨營運資金衡量企業短期內可自由周轉的淨流動性資源。原題將「減去」錯寫為「加上」，故為錯誤。</t>
  </si>
  <si>
    <t>在現金流量表中，&lt;span style="color: red; text-decoration: underline;"&gt;營運活動現金流量&lt;/span&gt; 最為重要，可看出本業獲利能力。</t>
  </si>
  <si>
    <t>這個陳述是**對的**（應填 **`O`**）。
### 1. 現金流量表三大活動之重要性對比
現金流量表分為三大類：
1. **營運活動現金流量 (CFO)**：**最為重要**，反映企業核心本業實質收現與造血能力，且不易受會計帳面調整影響。
2. **投資活動現金流量 (CFI)**：反映資本支出與資產處分。
3. **融資活動現金流量 (CFF)**：反映舉債、發股與發放股利。本題敘述完全正確。</t>
  </si>
  <si>
    <t>X, 公司總負債金額</t>
  </si>
  <si>
    <t>對股份有限公司的股東而言，相當於擁有一個買入選擇權(Call option)，其執行價格 (Strike price)是 &lt;span style="color: red; text-decoration: underline;"&gt;流動負債金額&lt;/span&gt;。</t>
  </si>
  <si>
    <t>這個陳述是**錯的**（應填 **`X`**）。
### 1. Merton 結構模型（選擇權公司評價）
在 Merton 選擇權模型中，股份有限公司的股權相當於一個買入選擇權 (Call Option)：
* **標的資產 ($S_T$)**：公司總資產價值 ($V_T$)。
* **執行價格 ($X$)**：**公司總負債面額 ($D$)**（包含流動負債與長期負債）。
* **買權報償 (Payoff)**：$\max(V_T - D, 0)$。
原題將執行價格窄化為「流動負債金額」，應修正為「公司總負債金額」。</t>
  </si>
  <si>
    <t>根據回收期限法，所設算的 &lt;span style="color: red; text-decoration: underline;"&gt;回收期間越短，對投資計畫越好&lt;/span&gt;。</t>
  </si>
  <si>
    <t>這個陳述是**對的**（應填 **`O`**）。
### 1. 回收期限法 (Payback Period) 決策準則
回收期限法是指專案累積淨現金流入剛好等於期初投資金額所需的時間天數/年數。
* **決策法則**：回收期間越短，代表企業越快收回本金，資金被套牢的風險越低、流動性越佳。因此回收時間越短越好。本題敘述正確。</t>
  </si>
  <si>
    <t>X, 並未考慮時間價值與回收期後現金流量</t>
  </si>
  <si>
    <t>回收期限法的定義為各年淨現金流量加總=原投資金額，其中回收年限需要依照產品 生命週期及環境進行評估，並 &lt;span style="color: red; text-decoration: underline;"&gt;考慮時間價值(折現)及回收期後的現金流量&lt;/span&gt;。</t>
  </si>
  <si>
    <t>這個陳述是**錯的**（應填 **`X`**）。
### 1. 傳統回收期限法之三大重大缺點
1. **未考慮時間價值**：直接將不同時間點的現金流量進行簡單相加（未折現）。
2. **完全忽視回收期後的現金流量**：只要本金回收，後面產生的巨大現金流通通不予計算，易誤殺長期高價值專案。
3. **門檻設定具主觀性**。原題敘述「考慮時間價值及回收期後現金流量」與事實相反，故為錯誤。</t>
  </si>
  <si>
    <t>X, 不可分散的系統風險</t>
  </si>
  <si>
    <t>武漢肺炎對投資人而言，屬於 &lt;span style="color: red; text-decoration: underline;"&gt;可分散的系統風險&lt;/span&gt;。</t>
  </si>
  <si>
    <t>這個陳述是**錯的**（應填 **`X`**）。
### 1. 系統性風險 vs. 非系統性風險
1. **系統性風險 (Systematic / Market Risk)**：源於全球大環境、總體經濟或流行病衝擊（如 COVID-19 疫情），會全面性衝擊整體金融市場，**無法透過多角化投資組合分散**。
2. **非系統性風險 (Unsystematic Risk)**：源於單一公司特定事件，可被分散。
* 原題中「可分散的系統風險」為用語矛盾，系統風險**不可分散**。</t>
  </si>
  <si>
    <t>X, 等於無風險利率 $R_f$</t>
  </si>
  <si>
    <t>根據資本資產定價模式，若某股票的貝他值等於 0，則它的要求報酬也將 &lt;span style="color: red; text-decoration: underline;"&gt;等於 0&lt;/span&gt;。</t>
  </si>
  <si>
    <t>這個陳述是**錯的**（應填 **`X`**）。
### 1. CAPM 公式計算
$$E(R_i) = R_f + \beta_i \times [E(R_m) - R_f]$$
當 $\beta_i = 0$ 時：
$$E(R_i) = R_f + 0 \times [E(R_m) - R_f] = R_f$$
要求的預期報酬率等於**無風險利率 $R_f$**（如政府國庫券利率），而非等於 0。原題敘述錯誤。</t>
  </si>
  <si>
    <t>固定成長模型來評估股價時，成長率(g)與價值成 &lt;span style="color: red; text-decoration: underline;"&gt;正向關係&lt;/span&gt;。</t>
  </si>
  <si>
    <t>這個陳述是**對的**（應填 **`O`**）。
### 1. 高登成長模型 (Gordon Growth Model) 公式
$$P_0 = \frac{D_1}{R_E - g}$$
在公式中，當股利成長率 $g$ 上升時：
* 分母 $(R_E - g)$ 變小，導致算出的股價現值 $P_0$ 變大。
* 因此成長率 $g$ 與股票價值呈**正向變動關係**。本題敘述正確。</t>
  </si>
  <si>
    <t>X, 還有新市場、降低成本、優化四大決策等</t>
  </si>
  <si>
    <t>創造價值的方法除了提供新產品、新服務之外， &lt;span style="color: red; text-decoration: underline;"&gt;沒有其他方法&lt;/span&gt;。</t>
  </si>
  <si>
    <t>這個陳述是**錯的**（判斷題應填 **`X`**）。
**「創造價值 (Value Creation)」在財務學上的本質，是指「替公司或股東創造淨的正現金流量 (Net Positive Cash Flow)」**。極大化淨現金流量的基本邏輯為：**「增加收入 (Revenue) － 降低成本與支出 (Cost)」**。
因此，提供新產品或新服務僅是增加收入的途徑之一，**並非唯一方法**。在財務實務中，企業可透過多元策略為公司與股東創造實質價值：
---
### 1. 收入端的其他策略：市場擴張與信用條件調整
* **市場與行銷擴張**：在維持既有產品與服務的前提下，透過**擴大目標市場、提升市佔率**來帶動銷售收入成長。
* **調整授信條件 (Trade Credit)**：適度放寬放帳期（例如由 30 天延長至 60 天），透過商業信用與融資便利吸引更多客戶下單，進而擴大營收規模。
---
### 2. 成本端的降本增效：節省成本即是創造現金流入
* **汰換低效能設備**：將老舊、高耗能的機器更換為高效率設備，雖未推出新產品，但能大幅降低營運與維護成本。
* **流程改善 (Process Improvement)**：優化內部作業流程與供應鏈管理，減少資源浪費及營業費用。
* **成本節省的財務本質**：在資本預算評估中，**「成本的節省 (Cost-saving)」在增量現金流量上等同於「現金流入」**，能實質推升專案淨現值 ($NPV$) 並創造企業價值。
---
### 3. 資本結構與財務規劃 (Financial Planning)
* **舉債的利息稅盾 (Interest Tax Shield)**：企業透過最適資本結構適度舉債，利息費用可於稅前扣抵，產生利息稅盾效益，降低整體加權平均資金成本 ($WACC$) 並提升公司價值。
* **租稅規劃與併購 (M&amp;A)**：透過收購具備累積虧損的企業以扣抵應稅所得，達成合法節稅，純屬財務與租稅規劃範疇。
* **股票購回 (Stock Repurchase)**：當現金股利稅率高於資本利得稅率時，以股票購回取代現金股利，為股東提供節稅與資產增值效益。
---
### 4. 資產活化與企業分割 (Divestiture / Spin-off)
* **處分非核心資產**：主動重整或出售獲利低落、拖累整體報酬率的非核心事業單位。
* **企業分割 (Spin-off)**：透過業務拆分使各事業體獨立運作、聚焦核心競爭力，消除集團折價 (Conglomerate Discount)，推升整體企業價值。
---
### 結論
價值創造的核心在於**各項決策（包含營運改善、設備汰換、融資稅盾、租稅規劃與資產重組等）能否為企業帶來正向的「增量現金流量 (Incremental Cash Flows)」**。提供新產品或新服務並非創造價值的唯一途徑，故原陳述為錯誤。</t>
  </si>
  <si>
    <t>X, 到期殖利率 (YTM)</t>
  </si>
  <si>
    <t>債券價格與 &lt;span style="color: red; text-decoration: underline;"&gt;無風險利率(銀行利率)&lt;/span&gt; 呈反向變動關係。</t>
  </si>
  <si>
    <t>這個陳述是**錯的**（應填 **`X`**）。
### 1. 嚴謹財務邏輯：殖利率 vs. 無風險利率
1. 決定債券價格的總折現率是**到期殖利率 ($YTM$)**：
$$YTM = \text{無風險利率 } R_f + \text{風險貼水}$$
2. 若無風險利率上升，但信用風險貼水剛好下降同等幅度，$YTM$ 不變，債券價格便不會變動。
3. 因此，能夠 100% 保證與債券價格呈嚴格反向變動關係的是**到期殖利率 (YTM)**，而非單純的無風險利率。</t>
  </si>
  <si>
    <t>從整體計畫觀點來看 NPV 的投資決策時，所採用的現金流量是&lt;span style="color: red; text-decoration: underline;"&gt;營運現金流量(OCF)&lt;/span&gt;。</t>
  </si>
  <si>
    <t>這個陳述是**對的**（應填 **`O`**）。
### 1. 專案/資產觀點 (Project Perspective) 之現金流對應
在進行 NPV 評估時：
* **資產/專案觀點**：評估整座專案創造價值的能力，使用的現金流量為未扣除債務利息支出的非槓桿**營運現金流量 ($OCF$)**，對應的折現率為 $WACC$ 或 $R_A$。本題敘述完全正確。</t>
  </si>
  <si>
    <t>X, 折現率 r / 必要報酬率</t>
  </si>
  <si>
    <t>現金流量在時間軸上移動的關鍵是 &lt;span style="color: red; text-decoration: underline;"&gt;β&lt;/span&gt; ，反映的是現金流量的風險。 (送分)</t>
  </si>
  <si>
    <t>這個陳述是**錯的**（應填 **`X`**，本題課堂上記為送分題）。
### 1. 現金流量時間移動的媒介
在時間價值計算中，將現金流量在時間軸上移動（往前折現或往後複利）的真正關鍵參數是**折現率 / 利率 $r$**。
* $\beta$ 係數是用來衡量系統性風險大小的統計指標，它會影響並決定折現率 $r$ 的高低，但直接用來進行現值折現計算的媒介是 **$r$** 而非 $\beta$。</t>
  </si>
  <si>
    <t>X, 相關性越低，風險越低</t>
  </si>
  <si>
    <t>兩種資產的相關性越高，組成的投資組合風險將 &lt;span style="color: red; text-decoration: underline;"&gt;會越低&lt;/span&gt;。</t>
  </si>
  <si>
    <t>這個陳述是**錯的**（應填 **`X`**）。
### 1. 馬可維茲投資組合理論 (Markowitz Portfolio Theory)
投資組合變異數公式：
$$\sigma_p^2 = w_1^2 \sigma_1^2 + w_2^2 \sigma_2^2 + 2 w_1 w_2 \sigma_1 \sigma_2 \rho_{1,2}$$
* 當兩資產的**相關係數 $\rho_{1,2}$ 越低**（越接近 -1）時，交叉項越小，分散風險的效果越強，投資組合總風險越低。
* 相關性越高（越接近 +1），分散風險的效果越差。原題敘述相反。</t>
  </si>
  <si>
    <t>X, 加權平均資金成本 (WACC)</t>
  </si>
  <si>
    <t>X, 不一定/總波動包含個別風險</t>
  </si>
  <si>
    <t>比較不受景氣循環影響的股票，其價格波動 &lt;span style="color: red; text-decoration: underline;"&gt;必然較小&lt;/span&gt;。</t>
  </si>
  <si>
    <t>這個陳述是**錯的**（應填 **`X`**）。
### 1. 系統風險 vs. 個別風險
股票總價格波動（總風險）由兩部分組成：
$$\text{總價格波動} = \text{系統性風險 (景氣敏感度 } \beta) + \text{個別風險}$$
較不受景氣循環影響代表其**系統性風險 ($\beta$) 較小**，但其**個別風險（如公司訴訟、營運變故）可能極大**，因此其總價格波動**不一定較小**。原題敘述過於絕對。</t>
  </si>
  <si>
    <t>股票現金流量的來源為 &lt;span style="color: red; text-decoration: underline;"&gt;現金股利及資本利得&lt;/span&gt;。</t>
  </si>
  <si>
    <t>這個陳述是**對的**（應填 **`O`**）。
### 1. 股票投資現金流之構成
股票投資人獲得的現金回報主要來自兩大管道：
1. **當期現金股利 (Dividends)**：公司經營盈餘發放的現金。
2. **資本利得 (Capital Gains)**：將股票於市場上賣出時的股價價差。本題敘述正確。</t>
  </si>
  <si>
    <t>效率市場假說中，認為 &lt;span style="color: red; text-decoration: underline;"&gt;效率資本市場的股價會完全且迅速反映所有可得的資訊，所 以企業無法透過融資決策來創造價值&lt;/span&gt;。</t>
  </si>
  <si>
    <t>這個陳述是**對的**（應填 **`O`**）。
### 1. 效率資本市場對融資決策之涵義
在效率市場假說下，證券價格永遠等於其公平真實價值。因此，企業發行股票或債券買賣證券的淨現值均為零 ($NPV = 0$)，無法單靠金融包裝或時機選擇等融資決策創造額外價值。本題敘述完全正確。</t>
  </si>
  <si>
    <t>X, 內部報酬率法 (IRR) 與獲利指數法 (PI)</t>
  </si>
  <si>
    <t>進行計畫評估時 ， &lt;span style="color: red; text-decoration: underline;"&gt;淨現值法及獲利指數法&lt;/span&gt; 可能有某些狀況未符合價值最大化原則的 缺點。</t>
  </si>
  <si>
    <t>這個陳述是**錯的**（應填 **`X`**）。
### 1. 投資評估指標之優缺點對比
1. **淨現值法 ($NPV$)**：**永遠符合**股東價值極大化原則，無任何排序缺點。
2. **內部報酬率法 ($IRR$)**：存在多重解問題，且在互斥案規模不同時可能給出錯誤排序。
3. **獲利指數法 ($PI$)**：在互斥案規模差異大時可能產生誤判。
* 原題將「淨現值法」歸為有缺點之方法屬錯誤，應改為內部報酬率法與獲利指數法。</t>
  </si>
  <si>
    <t>X, 平均應收天數愈短愈好，平均應付天數愈長愈好</t>
  </si>
  <si>
    <t>對公司而言，平均應收帳款天數及平均應付帳款天數 &lt;span style="color: red; text-decoration: underline;"&gt;愈短愈好&lt;/span&gt;。</t>
  </si>
  <si>
    <t>這個陳述是**錯的**（應填 **`X`**）。
### 1. 應收與應付帳款管理邏輯
1. **平均應收帳款天數 ($DSO$)**：**愈短愈好**，代表收現迅速、資金不被客戶占用。
2. **平均應付帳款天數 ($DPO$)**：**一般而言愈長愈好**，代表能善用供應商提供的免費商業信用。原題一概而論為愈短愈好係屬錯誤。</t>
  </si>
  <si>
    <t>X, 50 天</t>
  </si>
  <si>
    <t>若台大公司的平均應收帳款天數為 50 天，平均應付帳款天數為20 天，平均存貨天數 20 天，則該公司現金循環天數為 &lt;span style="color: red; text-decoration: underline;"&gt;90 天&lt;/span&gt;。</t>
  </si>
  <si>
    <t>這個陳述是**錯的**（應填 **`X`**）。
### 1. 現金循環天數 (CCC) 計算
$$\text{現金循環長度} = \text{平均存貨天數} + \text{平均應收天數} - \text{平均應付天數}$$
$$\text{現金循環長度} = 20 + 50 - 20 = 50 \text{ 天}$$
原題算成 90 天（誤將應付天數相加），正確答案應為 50 天。</t>
  </si>
  <si>
    <t>當一個資本市場是效率的時候，一個證券的 &lt;span style="color: red; text-decoration: underline;"&gt;價格(Price)與其真實價值(Value)是一致 的&lt;/span&gt;。</t>
  </si>
  <si>
    <t>這個陳述是**對的**（應填 **`O`**）。
### 1. 效率市場中價格與價值之關係
在效率資本市場中，資訊充分透明且即時反映，因此證券的市場交易**價格 ($Price$)** 隨時都會精確等於其**內在真實價值 ($Value$)**。本題敘述正確。</t>
  </si>
  <si>
    <t>X, 承擔營運風險與財務風險</t>
  </si>
  <si>
    <t>股東除了市場風險外， &lt;span style="color: red; text-decoration: underline;"&gt;只承擔營運風險&lt;/span&gt;。</t>
  </si>
  <si>
    <t>這個陳述是**錯的**（判斷題應填 **`X`**）。
這題考的是財務管理中關於**「股東所承擔風險之組成分類」**（主要見於資本結構與槓桿理論）。
以下為您詳細拆解股東承擔風險的兩大核心支柱與學理機制：
---
### 1. 核心判定：股東同時承擔「營運風險」與「財務風險」
在企業財務決策中，公司的總體風險是由**「投資決策（資產端）」與「融資決策（資金端）」**共同決定的。
對公司的股東而言，其承擔的總風險本質上由以下兩大支柱構成，並非「只」承擔營運風險：
* **營運風險 (Operating Risk)**：
  * **定義**：指公司在不舉債的前提下，純粹由本業經營、產業競爭及成本結構（如固定折舊、廠房租金等固定營運成本）所引起的息稅前利潤 ($EBIT$) 波動風險。
  * **決定因素**：由公司的**「投資決策」與「資產結構」**決定（營運槓桿度 $DOL$ 越高，營運風險越大）。
* **財務風險 (Financial Risk)**：
  * **定義**：指公司因發行負債而必須承擔固定利息費用，導致每股盈餘 ($EPS$) 的波動幅度被放大，甚至面臨無法償債的破產清算風險。
  * **決定因素**：由公司的**「融資決策」與「資本結構」**決定（財務槓桿度 $DFL$ 越高，財務風險越大）。
---
### 2. 雙重學理解析
#### A. 雙槓桿效果：總槓桿度 ($DTL$)
在財務學理上，兩大風險並非各自獨立，而是相乘放大：
$$\text{總槓桿度 } (DTL) = DOL \times DFL$$
只要公司選擇舉債融資（$DFL &gt; 1$），固定財務利息的負擔就會直接將資產端的營運風險進一步放大至股東權益端，因此股東必然承擔實質的財務風險。
#### B. MM 命題二 (MM Proposition II) 的風險定價機制
在 MM 第二命題中，股權要求報酬率 ($R_E$) 的公式為：
$$R_E = R_U + (R_U - R_D) \times \frac{D}{E}$$
* 當負債比例 ($D/E$) 提高時，$R_E$ 隨之線性上升。
* **風險補償邏輯**：上升的超額報酬率 $(R_U - R_D) \times \frac{D}{E}$，正是市場為了**補償股東所額外承受的「財務風險」**所要求的風險貼水。若股東僅承擔營運風險，則 $R_E$ 應恆等於無負債資產成本 $R_U$。
---
### 結論
只有在**「完全零負債（$D/E = 0$）」**的無槓桿公司中，股東才僅承擔營運風險。在任何存在負債融資的企業中，股東皆同時承受資產端的**營運風險**與負債端的**財務風險**，故原陳述為錯誤。</t>
  </si>
  <si>
    <t>X, 不可/基本面分析無效</t>
  </si>
  <si>
    <t>在半強式效率市場中，可藉 &lt;span style="color: red; text-decoration: underline;"&gt;基本面分析&lt;/span&gt; 獲取超額報酬。</t>
  </si>
  <si>
    <t>這個陳述是**錯的**（應填 **`X`**）。
### 1. 半強式效率市場之檢驗
在半強式效率市場中，股價已完全反映所有公開基本面資訊。因此，投資人使用基本面分析**無法**獲取超額報酬。原題陳述錯誤。</t>
  </si>
  <si>
    <t>選擇權是一種 &lt;span style="color: red; text-decoration: underline;"&gt;權利而非義務&lt;/span&gt;，有利時才會執行。</t>
  </si>
  <si>
    <t>這個陳述是**對的**（應填 **`O`**）。
### 1. 選擇權 (Option) 之契約特性
選擇權持有人（買方）擁有在約定時間以約定價格買入或賣出標的資產的**權利而非義務**，當市場狀況有利時才會執行，損失上限僅為權利金。本題敘述正確。</t>
  </si>
  <si>
    <t>X, 會發生</t>
  </si>
  <si>
    <t>代理問題 &lt;span style="color: red; text-decoration: underline;"&gt;不會發生在小股東與經理人間 ， 因為小股東無法直接影響公司的主要決策&lt;/span&gt; 。</t>
  </si>
  <si>
    <t>這個陳述是**錯的**（應填 **`X`**）。
### 1. 代理問題之普遍性
代理問題源於經理人與股東之間的利益不一致。無論是大股東還是小股東，經理人若未極大化股東權益，代理問題均會發生。小股東雖無法單獨影響決策，但依然承受代理成本。原題敘述錯誤。</t>
  </si>
  <si>
    <t>修正內部報酬率(MIRR)法可以解決內部報酬率(IRR)法之 &lt;span style="color: red; text-decoration: underline;"&gt;再投資報酬率假設的問題&lt;/span&gt;。</t>
  </si>
  <si>
    <t>這個陳述是**對的**（應填 **`O`**）。
### 1. MIRR 對 IRR 缺點之修正
傳統 $IRR$ 假設中間產生的現金流入能以高昂的內部報酬率 $IRR$ 進行再投資，極不合理。$MIRR$ 修正此缺點，假設現金流入是以合理的資本成本 ($WACC$) 進行再投資。本題敘述正確。</t>
  </si>
  <si>
    <t>X, 多個變數 (敏感度分析才是單一變數)</t>
  </si>
  <si>
    <t>進行投資決策時，情境分析每次僅考慮 &lt;span style="color: red; text-decoration: underline;"&gt;單一變數&lt;/span&gt; 的變動對投資可行性的影響，以協 助瞭解影響投資計畫成敗的關鍵變數。</t>
  </si>
  <si>
    <t>這個陳述是**錯的**（應填 **`X`**）。
### 1. 情境分析 vs. 敏感度分析
1. **敏感度分析 (Sensitivity Analysis)**：每次僅改變**單一變數**，觀察其對 NPV 的影響。
2. **情境分析 (Scenario Analysis)**：同時改變**多個相關變數**（如樂觀、基本、悲觀情境組合）。原題混淆兩者定義，故為錯誤。</t>
  </si>
  <si>
    <t>當淨現值大於 0 時，獲利指數法的值 &lt;span style="color: red; text-decoration: underline;"&gt;一定大於 1&lt;/span&gt;。</t>
  </si>
  <si>
    <t>這個陳述是**對的**（應填 **`O`**）。
### 1. PI 與 NPV 公式導導
$$PI = 1 + \frac{NPV}{CF_0}$$
當 $NPV &gt; 0$ 且 $CF_0 &gt; 0$ 時，$PI$ 必然大於 1。本題敘述完全正確。</t>
  </si>
  <si>
    <t>X, 實質利率略等於名目利率減去通貨膨脹率</t>
  </si>
  <si>
    <t>費雪效果定義了實質利率、通貨膨脹率及名目利率間的關係，故&lt;span style="color: red; text-decoration: underline;"&gt;實質利率略等於名目 利率加上通貨膨脹率&lt;/span&gt;。</t>
  </si>
  <si>
    <t>這個陳述是**錯的**（應填 **`X`**）。
### 1. 費雪效果 (Fisher Effect) 近似公式
$$\text{名目利率 } R \approx \text{實質利率 } r + \text{通貨膨脹率 } h$$
移項可得：
$$\text{實質利率 } r \approx R - h \quad (\text{名目利率 } - \text{通貨膨脹率})$$
原題寫成「加上」，公式關係錯誤。</t>
  </si>
  <si>
    <t>X, 權益要求報酬率 ($R_E$)</t>
  </si>
  <si>
    <t>進行計畫評估時，採取權益投資人觀點的淨現值(NPV)法須採用 &lt;span style="color: red; text-decoration: underline;"&gt;加權平均資金成本 (WACC)&lt;/span&gt; 做為折現率。</t>
  </si>
  <si>
    <t>這個陳述是**錯的**（應填 **`X`**）。
### 1. 股權觀點 vs. 資產觀點折現率選擇
1. **股權觀點**：折現現金流為扣除利息後的權益現金流，折現率必須採用**權益資金成本 $R_E$**。
2. **資產觀點**：折現未扣除利息的 OCF，折現率採用 $WACC$。原題觀點混淆。</t>
  </si>
  <si>
    <t>X, 預期報酬率高於市場要求報酬率，為增加價值的低風險計畫</t>
  </si>
  <si>
    <t>右圖表示公司資金成本與證券市場線的關係。A 計畫的 &lt;span style="color: red; text-decoration: underline;"&gt;預期報酬率低於市場要求報 酬率，為一減少價值的高風險計畫&lt;/span&gt;。</t>
  </si>
  <si>
    <t>這個陳述是**錯的**（應填 **`X`**）。
### 1. SML 與 WACC 水平線剖析
在圖中，A 計畫位於 SML 線的**上方**且位於 WACC 水平線的**下方**：
* 位於 SML 上方代表其預期報酬率**高於** CAPM 市場要求的報酬率（$NPV &gt; 0$），是一項**增加價值的低風險計畫**。原題敘述相反。</t>
  </si>
  <si>
    <t>X, 機會成本須計入</t>
  </si>
  <si>
    <t>進行計畫現金流量估計時，機會成本 &lt;span style="color: red; text-decoration: underline;"&gt;不須計入&lt;/span&gt;。</t>
  </si>
  <si>
    <t>這個陳述是**錯的**（應填 **`X`**）。
### 1. 增量現金流量之機會成本原則
機會成本指將資源用於該計畫而放棄的其他最佳替代用途收益，屬於真實的增量現金流出，**必須計入**計畫評估中。</t>
  </si>
  <si>
    <t>公司決定要在原有廠房增設一條生產線，在進行資本支出預算決策評估時，必須將廠 房因此新增的水電費用 &lt;span style="color: red; text-decoration: underline;"&gt;計入&lt;/span&gt; 此一新生產線計畫的現金流出項目。</t>
  </si>
  <si>
    <t>這個陳述是**對的**（應填 **`O`**）。
### 1. 增量現金流量評估原則
因增設生產線而**額外新增的水電費用**屬於該計畫帶來的真實現金流出，必須計入專案評估中。本題敘述正確。</t>
  </si>
  <si>
    <t>X, 表示企業收現極快，流動性良好</t>
  </si>
  <si>
    <t>現金循環長度為負值，表示企業 &lt;span style="color: red; text-decoration: underline;"&gt;流動性有問題&lt;/span&gt;。</t>
  </si>
  <si>
    <t>這個陳述是**錯的**（應填 **`X`**）。
### 1. 負現金循環 ($CCC &lt; 0$) 之意義
當 $CCC &lt; 0$（如 7-Eleven 或 Dell），代表企業在支付供應商貨款之前，早就已經將貨物售出並收回現金。這代表收現極快、營運資金效益高、企業流動性極佳，而非流動性有問題。原題敘述錯誤。</t>
  </si>
  <si>
    <t>政府採緊縮的貨幣政策時，對債券價格有 &lt;span style="color: red; text-decoration: underline;"&gt;負面&lt;/span&gt; 影響。</t>
  </si>
  <si>
    <t>這個陳述是**對的**（應填 **`O`**）。
### 1. 貨幣政策對債券價格之影響機制
緊縮貨幣政策（如升息、調高存款準備率）會推升市場利率。由於債券價格與市場利率呈反向變動關係，市場利率上漲會導致債券價格下跌（產生負面影響）。本題敘述正確。</t>
  </si>
  <si>
    <t>X, 融資活動現金流量</t>
  </si>
  <si>
    <t>個別資產預期報酬率＝ &lt;span style="color: red; text-decoration: underline;"&gt;無風險利率＋個別資產的風險貼水&lt;/span&gt;。</t>
  </si>
  <si>
    <t>這個陳述是**對的**（應填 **`O`**）。
### 1. CAPM / 資產定價基本架構
$$E(R_i) = R_f + \text{風險貼水 } \Big(\beta_i [E(R_m) - R_f]\Big)$$
個別資產預期報酬率由無風險利率基礎回報與風險貼水補償兩部分加總而成。本題敘述完全正確。</t>
  </si>
  <si>
    <t>2019/9/7</t>
  </si>
  <si>
    <t>X, 會隨著規模變大而變大</t>
  </si>
  <si>
    <t>淨營運資金(Net working capital)即使公司規模變大，通常還是維持固定金額。</t>
  </si>
  <si>
    <t>這個陳述是**錯的**（應填 **`X`**）。
### 1. 淨營運資金 (Net Working Capital, NWC) 的定義與計算
淨營運資金是指企業流動資產扣除流動負債後的淨額，用以衡量企業維持日常營運的流動性資金需求。其基本計算公式為：
$$NWC = \text{流動資產} - \text{流動負債}$$
在實務與營運資金管理中，主要由應收帳款 ($A/R$)、存貨 ($INV$) 與應付帳款 ($A/P$) 所構成：
$$NWC \approx A/R + INV - A/P$$
---
### 2. 為什麼公司規模變大時，淨營運資金不會維持固定？
當公司營業規模擴大、銷售額與產能成長時，營運資金的需求也會隨之同向增加，主要原因如下：
1. **存貨 ($INV$) 增加**：為了支援更高的銷售量與避免缺貨風險，公司必須準備更多的原料與成品備貨。
2. **應收帳款 ($A/R$) 增加**：營收增加代表給予客戶的賒銷總額拉高，尚未收回的帳款金額也相應膨脹。
3. **應付帳款 ($A/P$) 增加**：採購規模擴大使得對供應商的賒購增加，雖然 $A/P$ 為減項，但整體 $A/R + INV$ 的增加幅度通常大於 $A/P$。
因此，淨營運資金的需求量會隨著企業營運規模的成長而**同步比例增加**，而非保持不變。
---
### 3. 資本預算計畫評估中的意涵
在進行投資計畫或新事業評估時，`淨營運資金變動額` ($\Delta NWC$) 是隨營收成長必須持續投入的營運資本（初期與擴張期為現金流出，計畫結束時回收）。如果誤以為淨營運資金會保持固定，將會嚴重低估成長期所需的資金投入，進而高估計畫的淨現值 ($NPV$)。</t>
  </si>
  <si>
    <t>X, 平均應付帳款天數愈長愈好</t>
  </si>
  <si>
    <t>根據資本資產定價模式(CAPM)，若某股票的貝他值等於 1，則它的預期報酬即為大盤預期報酬率。</t>
  </si>
  <si>
    <t>這個陳述是**對的**（應填 **`O`**）。
### 1. 資本資產定價模型 (CAPM) 公式驗證
CAPM 均衡公式如下：
$$E(R_i) = R_f + \beta_i \times [E(R_m) - R_f]$$
其中：
* $E(R_i)$：股票 $i$ 的預期報酬率。
* $R_f$：無風險利率。
* $\beta_i$：股票 $i$ 相對於市場大盤的系統性風險敏感度。
* $E(R_m)$：市場投資組合（大盤）的預期報酬率。
---
### 2. 當 $\beta = 1$ 時的代入推導
將 $\beta_i = 1$ 代入 CAPM 公式：
$$E(R_i) = R_f + 1 \times [E(R_m) - R_f] = R_f + E(R_m) - R_f = E(R_m)$$
計算結果顯示，當某股票的貝他值剛好等於 1 時，其承擔的系統性風險與整體大盤完全相同，因此其預期報酬率剛好等於**大盤預期報酬率 $E(R_m)$**。本題敘述完全正確。</t>
  </si>
  <si>
    <t>如果可以由技術線圖準確預測股價，隱含過去價格的交易資訊還沒完全反映在股價上，也就是說，此時的市場並非效率市場。</t>
  </si>
  <si>
    <t>這個陳述是**對的**（應填 **`O`**）。
### 1. 弱勢效率市場 (Weak-Form Efficiency) 之定義
根據尤金·法馬 (Eugene Fama) 提出的效率市場假說 (EMH)：
* **弱勢效率市場**：假設目前股票價格已經**完全且迅速地反映了所有過去的交易資訊**（包含歷史股價、成交量、技術指標等）。
* **推論**：若市場達到弱勢效率，任何投資人均**無法**透過分析歷史股價線圖（技術分析）來持續獲得超額報酬 (Excess Return / Alpha)。
---
### 2. 本題邏輯檢驗
若投資人**「可以由技術線圖準確預測股價並獲利」**：
1. 這代表過去的價量交易資訊**尚未完全且即時地反映在當前股價中**（存在資訊時差與套利空間）。
2. 這直接違背了弱勢效率市場的基本假設。
3. 因此，可以推論**此時的市場連弱勢效率都未達到，必然非效率市場**。本題敘述完全正確。</t>
  </si>
  <si>
    <t>X, 不是（代表市場未達半強式效率）</t>
  </si>
  <si>
    <t>如果可以由基本面分析預測股價，則此市場有可能是半強式效率市場。</t>
  </si>
  <si>
    <t>這個陳述是**錯的**（應填 **`X`**）。
### 1. 半強式效率市場 (Semi-Strong Form Efficiency) 之定義
半強式效率市場是指：股票價格已經**完全且即時地反映了所有公開可得的資訊**（包含公司財報、基本面數據、新聞宣告、產業景氣以及歷史價量資料）。
---
### 2. 為什麼「可以由基本面分析預測股價」代表「不是」半強式效率市場？
* **邏輯推導**：基本面分析（如分析財報、營收、獲利、P/E、P/B 等）所使用的全部都是**公開資訊 (Public Information)**。
* 若投資人能夠透過基本面分析預測股價並賺取超額報酬，這代表公開資訊**尚未被股價完全反映**。
* 因此，該市場**絕對不可能是半強式效率市場**（它至多僅達到弱勢效率，或者屬於非效率市場）。原題陳述「有可能是半強式效率市場」在財務邏輯上完全相反，故為錯誤。</t>
  </si>
  <si>
    <t>已知在不考慮「代理成本」及「財務危機與破產成本」存在的條件下，使公司價值最大的資本結構也會使股東財富最大。。</t>
  </si>
  <si>
    <t>這個陳述是**對的**（應填 **`O`**）。
### 1. 完美市場與 MM 理論假設
在莫迪尼亞尼-米勒 (MM) 的架構下，若不考慮代理成本與財務危機破產成本等市場摩擦力：
$$V = D + E$$
其中 $V$ 為公司總價值，$D$ 為負債價值，$E$ 為股東權益價值（股東財富）。
---
### 2. 為什麼「公司價值極大化」等同於「股東財富極大化」？
1. **負債契約的固定性**：當公司進行槓桿資本結構重組（如發債買回股票）時，債權人的面額與求償金額 $D$ 是固定的。
2. **剩餘價值歸屬**：當公司總價值 $V$ 因資本結構優化（例如利用利息稅盾）而增加時，增加的價值將**完全歸屬於股東 ($E = V - D$)**。
3. **無摩擦力的傳導**：因為不存在代理成本與破產摩擦成本去瓜分公司價值，因此任何能提升公司整體價值 $V$ 的資本結構決策，必定會同時極大化股東財富 $E$。</t>
  </si>
  <si>
    <t>X, 假設資訊完全對稱</t>
  </si>
  <si>
    <t>M&amp;M 資本結構無關論理論的假設，包含假設市場允許訊息不對稱。</t>
  </si>
  <si>
    <t>這個陳述是**錯的**（應填 **`X`**）。
### 1. MM 資本結構無關論 (Proposition I) 的基本假設
MM 第一命題（資本結構無關論）建立在**完美資本市場 (Perfect Capital Market)** 的嚴格假設之上：
1. **無摩擦力**：無公司所得稅、無個人所得稅、無交易成本與發行成本。
2. **無破產成本與代理成本**。
3. **資訊完全對稱與同質預期 (Symmetric Information &amp; Homogeneous Expectations)**：所有市場參與者（內部人與外部投資人）擁有完全相同的資訊，且能以相同的利率借貸。
---
### 2. 資訊不對稱的影響
若允許資訊不對稱存在，則會誕生**融資順位理論 (Pecking Order Theory)** 或 Ross 的**債務信號發射理論 (Signaling Theory)**，資本結構將會直接影響公司價值與股價。因此，MM 無關論的假設是**「資訊完全對稱」**，而非允許訊息不對稱。</t>
  </si>
  <si>
    <t>M&amp;M 資本結構有關論理論，舉債越多，公司價值越高，是因為稅盾的效果。</t>
  </si>
  <si>
    <t>這個陳述是**對的**（應填 **`O`**）。
### 1. MM 有稅命題一 (MM Proposition I with Taxes)
當 MM 理論加入公司所得稅 ($T_c$) 後，由於利息費用可在稅前扣除（具備節稅效果），負債融資會創造**利息稅盾 (Interest Tax Shield)**。
---
### 2. 公司價值公式與稅盾效應
$$V_L = V_U + T_c \times D$$
其中：
* $V_L$：有負債公司的價值。
* $V_U$：無負債公司的價值。
* $T_c$：公司所得稅率。
* $D$：債務面額。
* $T_c \times D$：利息稅盾的折現現值。
因為利息稅盾現值 $T_c D$ 隨著負債金額 $D$ 的增加而呈線性成長，因此在 MM 有稅模型中，舉債越多，公司整體價值就越高（100% 舉債時價值最高）。本題敘述完全正確。</t>
  </si>
  <si>
    <t>公司直接破產成本通常比間接破產成本高。</t>
  </si>
  <si>
    <t>這個陳述是**錯的**（應填 **`X`**）。
### 1. 直接破產成本 (Direct Bankruptcy Costs)
* **定義**：企業進行破產清算或重組過程中，直接支付給專業人員的法律、會計、清算與行政訴訟費用。
* **比例**：實證研究顯示，直接破產成本通常僅占公司資產市值的 **1% 至 5%**，金額相對微小。
---
### 2. 間接破產成本 (Indirect Bankruptcy Costs)
* **定義**：企業發生財務危機時，導致營運與商譽受損的隱性損失。包括：
* 客戶因擔心售後服務而拒絕購買產品（營收暴跌）。
* 供應商取消賒帳、要求現金交易（營運資金緊縮）。
* 優質員工離職、優秀人才不敢加入。
* 迫於資金壓力二手賤賣核心資產 (Fire Sale)。
* **比例**：間接破產成本通常高達公司資產總值的 **10% 至 20% 甚至更高**。
---
### 結論
因此，**直接破產成本通常遠低於間接破產成本**。原題敘述「直接比間接高」在學理與實務上均為錯誤。</t>
  </si>
  <si>
    <t>根據信號發射理論，投資人視負債為公司價值的訊號。公司預期獲利低，為了降低利息費 用，會選擇較少的負債融資。</t>
  </si>
  <si>
    <t>這個陳述是**對的**（應填 **`O`**）。
### 1. Ross 債務訊號傳遞模型 (Signaling Theory)
在資訊不對稱的市場中，內部經理人比外部投資人更了解公司的真實前景。經理人可透過**提高負債比例**向市場發送公司未來獲利強勁的利多訊號。
---
### 2. 為什麼低獲利公司不敢盲目模仿？
1. **破產風險與懲罰**：債務具有強制還本付息的法律約束。若預期獲利低的企業盲目舉債，未來極易因現金流不足而違約破產。
2. **經理人個人成本**：公司破產會導致經理人失業與個人聲譽毀滅。
3. **分離均衡 (Separating Equilibrium)**：預期獲利低的公司為了避免高昂的破產危機與利息負擔，只能選擇較少（較低）的負債融資。因此，負債比例成為市場鑑別公司優劣的可信訊號。</t>
  </si>
  <si>
    <t>基於自由現金流量假說，償還利息及本金的壓力能遏止浪費，故舉債可以降低代理成本。</t>
  </si>
  <si>
    <t>這個陳述是**對的**（應填 **`O`**）。
### 1. 詹森自由現金流量假說 (Jensen's Free Cash Flow Hypothesis)
當公司產生充沛的自由現金流量 ($FCF$)，且缺乏高回報投資計畫時，經理人（代理人）傾向留存現金進行好大喜功的過度投資或盲目併購，產生嚴重的**股東與經理人代理成本**。
---
### 2. 舉債控制代理成本的機制
1. **硬性約束機制**：舉債產生的定期還本付息義務是強制性的法律責任。
2. **減少可支配現金**：舉債強制將多餘的現金流量以利息形式支付給債權人，減少經理人手頭可自由揮霍的閒置資金。
3. **外部監督**：債權人與評等機構會對公司財務狀況進行嚴格監督，進一步抑制經理人的浪費行為，從而降低代理成本。</t>
  </si>
  <si>
    <t>X, 須為訊息不透明</t>
  </si>
  <si>
    <t>融資順位理論的成立，要求市場訊息充分透明。</t>
  </si>
  <si>
    <t>這個陳述是**錯的**（應填 **`X`**）。
### 1. 融資順位理論 (Pecking Order Theory) 之核心驅動力
Myers &amp; Majluf 提出的融資順位理論，其建立的核心前提正是**資訊不對稱（Information Asymmetry，即訊息不透明）**。
---
### 2. 逆向選擇與融資順位
1. **逆向選擇 (Adverse Selection)**：當經理人比外部投資人更了解公司真實價值時，市場會認為「公司只有在股價被高估時才會發行新股」。因此發行新股票會被解讀為利空，導致股價下跌（檸檬市場問題）。
2. **融資優先順序**：
* **首選**：內部權益（保留盈餘，零資訊不對稱與發行成本）。
* **次選**：舉債融資（債務資訊不對稱程度遠低於股票）。
* **末選**：外部發行新普通股（資訊不對稱成本最高）。
* 若市場訊息充分透明，逆向選擇成本消失，融資順位理論將不再成立。</t>
  </si>
  <si>
    <t>考慮稅盾與財務危機成本，依據 MM 資本結構理論，最適資本結構會讓公司選擇最低的 WACC。</t>
  </si>
  <si>
    <t>這個陳述是**對的**（應填 **`O`**）。
### 1. 靜態權衡理論 (Static Trade-off Theory)
當 simultaneous 考慮利息稅盾收益與財務危機破產成本時，公司價值公式為：
$$V_L = V_U + PV(\text{Tax Shield}) - PV(\text{Financial Distress Costs})$$
---
### 2. 公司價值極大化與 WACC 極小化的對等性
根據公司估值基本公式：
$$V = \frac{WACC \text{ 相關之淨營運現金流量}}{R_{WACC}}$$
在給定營運現金流量下：
* 當公司找到最適負債比例使**公司價值 $V$ 達到最大**時。
* 該資本結構也必然會使**加權平均資金成本 ($R_{WACC}$) 達到最低點**。兩者在數學與財務邏輯上完全對等。</t>
  </si>
  <si>
    <t>股票購回可以當作是公司替代現金股利的現金發放方案。</t>
  </si>
  <si>
    <t>這個陳述是**對的**（應填 **`O`**）。
### 1. 股票購回 (Share Repurchase) 之財務本質
股票購回是指公司運用帳上的多餘現金，從公開市場買回自家發行的普通股股票作為庫藏股。
---
### 2. 作為現金股利的替代方案
1. **現金發放管道**：兩者皆是公司將內部盈餘與現金返還給股東的管道。
2. **EPS 與反稀釋效果**：股票購回會減少流通在外股數，在總盈餘不變下可提升每股盈餘 ($EPS$) 與股價。
3. **租稅與彈性優勢**：相較於現金股利（股東需立即繳納所得稅，且建立股利剛性壓力），股票購回賦予股東自願選擇何時賣股變現（課徵資本利得稅），且公司執行彈性較大。本題敘述完全正確。</t>
  </si>
  <si>
    <t>X, 現金股利登記日在除息日之後</t>
  </si>
  <si>
    <t>股票的現金股利登記日在除息日之前。</t>
  </si>
  <si>
    <t>這個陳述是**錯的**（應填 **`X`**）。
### 1. 股利發放之四個關鍵日期時序
公司發放現金股利時，時間順序嚴格如下：
1. **宣告日 (Declaration Date)**：董事會決議並公告股利發放金額與時程。
2. **除息日 (Ex-Dividend Date)**：自此日起買進股票的投資人，**不再享有**領取當期股利的權利。
3. **股利登記日 / 股東名冊記載日 (Record Date)**：公司據以確認合格領息股東名單的基準日。
4. **付息日 (Payment Date)**：公司實際將現金支票或匯款撥入股東帳戶之日。
---
### 2. 為什麼除息日在登記日之前？
由於股票交割制度（如台股或美股的 $T+2$ 或 $T+1$ 交割時差），為了讓登記日當天能確定名冊，**除息日必定安排在登記日之前 1 至 2 個交易日**。原題敘述「登記日在除息日之前」時序顛倒，故為錯誤。</t>
  </si>
  <si>
    <t>根據股利政策無關論，股利政策並不會影響到公司價值。因為投資者會使用自製股（息） 來為自己創造所偏好現金流量。</t>
  </si>
  <si>
    <t>這個陳述是**對的**（應填 **`O`**）。
### 1. MM 股利無關論 (Dividend Irrelevance Theory)
Miller &amp; Modigliani (1961) 指出，在完美資本市場中（無稅、無交易成本），公司的價值僅由其**投資決策與本業獲利能力**決定，與盈餘如何分配（發放股利或保留盈餘）無關。
---
### 2. 自製股息 (Homemade Dividends) 機制
* **需要現金但公司不發股利**：投資人可以自行在市場上賣出同等價值的股票，自製現金流。
* **收到股利但想保留再投資**：投資人可以用收到的現金股利再買入公司股票。
因為投資人能無成本地透過自製股息調整現金流，公司股利政策便無法創造額外價值。</t>
  </si>
  <si>
    <t>股票購回已經變成一種分配盈餘給股東的重要方法，且股東通常偏好股票購回，是因為可 以繳較少的稅。</t>
  </si>
  <si>
    <t>這個陳述是**對的**（應填 **`O`**）。
### 1. 股票購回相較於現金股利之租稅優勢
1. **課稅時機延後**：現金股利一經發放，股東不論是否需要現金，都必須在當年度強制申報並課徵普通所得稅。股票購回則僅有選擇賣出股票的股東才需繳稅，未賣出的股東可遞延課稅。
2. **稅率差異（資本利得 vs. 普通所得）**：在許多國家（如美國或台股稅制），資本利得稅率通常低於個人綜合所得稅最高邊際稅率。
3. **選擇權**：股票購回給予股東自主決定是否實現利得的自由。因此高稅率股東普遍偏好股票購回。</t>
  </si>
  <si>
    <t>X, 偏好零或低股利的股票</t>
  </si>
  <si>
    <t>在美國高稅率級距的投資者通常偏好高股利的股票。</t>
  </si>
  <si>
    <t>這個陳述是**錯的**（應填 **`X`**）。
### 1. 顧客效果 / 租稅 Client Effect (Tax Clientele Effect)
不同稅率級距的投資人對公司股利政策有不同的偏好組合：
1. **高個人所得稅邊際稅率投資者**：
* 現金股利會被課徵極高的普通所得稅。
* 因此這類投資人**偏好零股利或低股利（高資本保留再投資）**的股票，以獲取資本利得（遞延且稅率較低）。
2. **低稅率或免稅投資者（如退休基金、法人機構）**：
* 偏好高現金股利股票以獲得穩定的當期現金流。
---
### 結論
原題陳述高稅率投資人偏好高股利股票完全違反租稅避稅邏輯，故為錯誤。</t>
  </si>
  <si>
    <t>X, 不行</t>
  </si>
  <si>
    <t>公司發放股票股利，也可以 &lt;span style="color: red; text-decoration: underline;"&gt;減少&lt;/span&gt; 自由現金流量 。</t>
  </si>
  <si>
    <t>這個陳述是**錯的**（應填 **`X`**）。
### 1. 股票股利（Stock Dividend）之本質
* 股票股利係公司將保留盈餘轉列為股本，無償配發新股票給現有股東。
* 在整個發放過程中，**公司沒有任何現金流出（$\Delta \text{Cash} = 0$）**，僅為股東權益項目的內部帳面重分類。
### 2. 自由現金流量（FCF）不受影響
* 自由現金流量（FCF）代表營運所產生的實質現金扣除資本支出與營運資金變動後的真金白銀。
* 股票股利既未動用任何現金，自然**完全無法減少自由現金流量**（唯有現金股利或股票買回才能實質減少現金流量與代理成本）。原題敘述錯誤。</t>
  </si>
  <si>
    <t>10_股利政策_股票股利與股票分割</t>
  </si>
  <si>
    <t>營業循環長度=平均存貨天數+平均應收帳款天數。</t>
  </si>
  <si>
    <t>這個陳述是**對的**（應填 **`O`**）。
### 1. 營業循環 (Operating Cycle) 公式
$$\text{營業循環長度} = \text{平均存貨天數 (Inventory Period)} + \text{平均應收帳款天數 (Accounts Receivable Period)}$$
---
### 2. 與現金循環 (Cash Cycle) 之區分
* **營業循環**：代表企業從購入原料存貨開始，經過生產銷貨，直到最終收回應收帳款現金的全程物理時間。
* **現金循環**：則需扣除向供應商賒購的平均應付帳款天數 ($A/P \text{ Days}$)。本題公式完全正確。</t>
  </si>
  <si>
    <t>你擁有中小企業咸興公司以及台灣銀行一個月後到期的本票各一張，面額皆為 1,000 萬， 則咸興公司那張本票的投資報酬率會較高。</t>
  </si>
  <si>
    <t>這個陳述是**對的**（應填 **`O`**）。
### 1. 風險與報酬的對稱性 (Risk-Return Tradeoff)
在金融市場中，投資人要求的期望報酬率直接取決於資產的**違約風險 (Default Risk)** 與**信用風險**：
$$\text{要求報酬率} = \text{無風險利率} + \text{違約風險溢酬}$$
---
### 2. 咸興公司 vs. 台灣銀行之信用對比
1. **台灣銀行**：為國營/大型公股銀行，信用評等極高，違約機率幾乎為零（趨近無風險）。
2. **咸興公司**：為中小企業，財務風險與違約不確定性顯著高於台銀。
3. **價格與報酬率**：在相同面額 (1,000 萬) 下，市場對咸興公司的本票會要求較高的違約風險貼水，導致其發行買價（折現價）較低，因而計算出來的**投資報酬率（殖利率）會較高**。</t>
  </si>
  <si>
    <t>X, 愈大</t>
  </si>
  <si>
    <t>現金循環長度愈長，企業的流動性風險愈小。</t>
  </si>
  <si>
    <t>這個陳述是**錯的**（應填 **`X`**）。
### 1. 現金循環 (Cash Conversion Cycle, CCC) 之意義
現金循環是指企業從「實際支付現金給供應商」到「實際從客戶端收回現金」的平均天數。
---
### 2. 為什麼現金循環越長，流動性風險愈「大」？
1. **資金被套牢時間長**：現金循環越長，代表企業的營運資金被鎖在存貨與應收帳款的時間越久。
2. **短期資金壓力拉高**：企業必須籌措額外的短期融資來墊付營運開支，若中間遇到市場變故或銀行抽銀根，極易引發資金鏈斷裂（流量上的支付不能）。
3. **結論**：現金循環越短（甚至為負），收現越快，流動性越好；現金循環越長，流動性風險**愈大**。</t>
  </si>
  <si>
    <t>X, 不存在/因產業與商業模式而異</t>
  </si>
  <si>
    <t>各項財務比率都有理論上的最適值存在。</t>
  </si>
  <si>
    <t>這個陳述是**錯的**（應填 **`X`**）。
### 1. 財務比率之情境依賴性
財務比率（如流動比率、負債比率、資產週轉率、P/E 等）**不存在任何放諸四海皆準的「理論最適值」**。
---
### 2. 差異成因
1. **產業特性**：如營建業、金融業的負債比率天然偏高；台積電等半導體業資本支出大，固定資產比重高；零售業（如 7-Eleven）現金循環為負。
2. **商業模式與策略**：高毛利低週轉（精品）與低毛利高週轉（量販）的最適財務比率完全不同。
3. **總體經濟**：同同一公司在升息與降息循環下的最適槓桿亦不同。財務分析應以**同業標竿比較與歷史趨勢分析**為主，而非尋找固定最適值。</t>
  </si>
  <si>
    <t>某公司的 Tobin’s Q 比 1 大很多則該公司的 P/B(市價淨值比)也大於 1。</t>
  </si>
  <si>
    <t>這個陳述是**對的**（應填 **`O`**）。
### 1. Tobin's Q 與 P/B (市價淨值比) 之定義
* **Tobin's Q**：
$$\text{Tobin's Q} = \frac{\text{企業總市值 (權益市值 + 負債市值)}}{\text{資產總重置成本}}$$
* **P/B (Price-to-Book Ratio)**：
$$P/B = \frac{\text{每股市價}}{\text{每股淨值}} = \frac{\text{權益市值}}{\text{權益帳面價值}}$$
---
### 2. 兩者的內在邏輯對應
當公司的 **Tobin's Q &gt;&gt; 1** 時，代表市場對該公司無形資產、品牌、技術研發與未來成長創價能力給予高額溢價。這會直接傳導至權益市場，使投資人願意支付高於帳面淨值的價格，因此其 **P/B (市價淨值比) 必定也顯著大於 1**。本題敘述正確。</t>
  </si>
  <si>
    <t>根據資本資產定價模式，若某股票的貝他值等於 0，則它的風險貼水等於 0。</t>
  </si>
  <si>
    <t>這個陳述是**對的**（應填 **`O`**）。
### 1. CAPM 風險貼水 (Risk Premium) 公式
根據 CAPM，單一資產的風險貼水（風險溢酬）定義為：
$$\text{風險貼水} = \beta_i \times [E(R_m) - R_f]$$
---
### 2. 計算與證明
若某股票的貝他值 $\beta_i = 0$：
$$\text{風險貼水} = 0 \times [E(R_m) - R_f] = 0$$
此時該資產的預期報酬率 $E(R_i) = R_f$（等於無風險利率），不包含任何系統性風險補償。本題敘述完全正確。</t>
  </si>
  <si>
    <t>X, 個別風險（非系統風險）可被分散，系統風險無法被分散</t>
  </si>
  <si>
    <t>資本資產定價模型(CAPM)假設資產的「&lt;span style="color: red; text-decoration: underline;"&gt;系統風險&lt;/span&gt;」可藉由投資組合充分分散,所以只有資產的個別風險需要補償·</t>
  </si>
  <si>
    <t>這個陳述是**錯的**（應填 **`X`**）。
### 1. CAPM 分散化假設
個別風險可被投資組合完全分散；系統風險無法分散，故僅系統風險能獲得報酬補償。原題敘述顛倒。</t>
  </si>
  <si>
    <t>X, 策略性/營運性合併</t>
  </si>
  <si>
    <t>為達垂直整合目的的合併是屬於財務性合併。</t>
  </si>
  <si>
    <t>這個陳述是**錯的**（應填 **`X`**）。
### 1. 營運（策略性）合併 vs. 財務性合併
1. **營運/策略性合併 (Operating / Strategic Merger)**：
* **目的**：為了取得產業內的營運綜效 (Synergy)、控制供應鏈或通路、擴大規模經濟。
* **垂直整合 (Vertical Integration)**：指企業與上游原料供應商或下游銷售通路結合，目的在於掌握資源、降低交易成本與營運風險，屬於**典型的策略性/營運性合併**。
2. **財務性合併 (Financial Merger)**：
* **目的**：非為了經營綜效，而是為了多角化分散財務風險、租稅效益或撿便宜進行純投資收購。原題分類錯誤。</t>
  </si>
  <si>
    <t>從股權觀點來應用回收期法(Payback period)於投資決策時，所採用的現金流量是股東的 投資金額與稅後的權益現金流量。</t>
  </si>
  <si>
    <t>這個陳述是**對的**（應填 **`O`**）。
### 1. 投資評估兩大觀點之參數對稱性
在進行回收期法或 NPV 評估時，必須保持「觀點與參數的一致性」：
1. **資產觀點（專案觀點）**：
* **期初投入 ($CF_0$)**：總投資金額（不論資金來源）。
* **未來現金流**：未扣除利息的營運現金流量 ($OCF$)。
2. **股權觀點（股東觀點）**：
* **期初投入 ($CF_0$)**：股東實際出資金額（總投資額 - 舉債額）。
* **未來現金流**：扣除債務本息支出後的**稅後權益現金流量 (Equity Cash Flow)**。本題敘述完全對稱且正確。</t>
  </si>
  <si>
    <t>在進行計畫評估時，淨營運資金的變動是屬於投資活動的現金流量。</t>
  </si>
  <si>
    <t>這個陳述是**對的**（應填 **`O`**）。
### 1. 資本預算中之現金流量分類
在評估投資計畫的增量現金流量時，現金流量分為三大類：
1. **期初資本支出 (CapEx)**：屬於投資活動現金流出。
2. **淨營運資金變動 (\Delta NWC)**：計畫期初與成長期需投入資金備置存貨與應收帳款，屬於**投資活動的現金流量 (Cash Flow from Investing, CFI)**。
3. **營運現金流量 (OCF)**：屬於計畫運作帶來的營運活動現金流量。本題敘述正確。</t>
  </si>
  <si>
    <t>X, PI 大於 1</t>
  </si>
  <si>
    <t>X, 溢價發行</t>
  </si>
  <si>
    <t>在發行時，當某債券的票面利率高於該債券的市場利率時，債券將折價發行。</t>
  </si>
  <si>
    <t>這個陳述是**錯的**（應填 **`X`**）。
### 1. 債券發行價格與利率之關係
債券發行時的價格由票面利率 (Coupon Rate) 與市場要求的殖利率/市場利率 (Market Rate) 之相對關係決定：
1. **票面利率 &gt; 市場利率**：
* 該債券承諾支付的利息高於市場同風險債券的水準。
* 投資人搶購，推升債券價格高於面額，稱為**溢價發行 (Premium Issuance)**。
2. **票面利率 &lt; 市場利率**：
* 承諾利息低於市場水準，需降價吸引買家，稱為**折價發行 (Discount Issuance)**。
3. **票面利率 = 市場利率**：
* **平價發行 (Par Issuance)**。原題將「溢價」錯寫為「折價」，故為錯誤。</t>
  </si>
  <si>
    <t>X, 不一定/β衡量系統風險而非總風險</t>
  </si>
  <si>
    <t>某資產總風險很大(波動度很大)，則該資產的值很大。</t>
  </si>
  <si>
    <t>這個陳述是**錯的**（應填 **`X`**）。
### 1. 總風險與貝他值 (\beta) 的統計差異
* **總風險 (Total Risk)**：以報酬率的**標準差或變異數 ($\sigma$)** 衡量，包含系統性風險與非系統性風險。
* **貝他值 ($\beta$)**：僅衡量單一資產對**市場大盤的系統性風險敏感度**：
$$\beta_i = \frac{Cov(R_i, R_m)}{Var(R_m)} = \rho_{i,m} \times \frac{\sigma_i}{\sigma_m}$$
---
### 2. 為什麼總風險大不代表 $\beta$ 大？
如果某資產（如高科技生技新創）波動度 $\sigma_i$ 極大，但其業務與整體大盤走勢無關（相關係數 $\rho_{i,m} \approx 0$），計算出來的 $\beta$ 值依然會接近 0。因此，總風險大**不一定**代表 $\beta$ 大。</t>
  </si>
  <si>
    <t>X, 沉沒成本不計入</t>
  </si>
  <si>
    <t>在估計一個投資計畫的現金流量時，決策前委外所做的調查分析成本必須要計入。</t>
  </si>
  <si>
    <t>這個陳述是**錯的**（應填 **`X`**）。
### 1. 沉沒成本 (Sunk Cost) 之定義與處理法則
* **定義**：指在當前投資決策點**之前已經發生且無法收回的支出**（如過去委外進行的市場調查費、可行性研究費）。
* **決策法則**：無論該投資計畫最終是「接受」還是「拒絕」，這筆調查費用都已經付出且無法改變。因此，沉沒成本非增量現金流量，在估計計畫現金流量時**絕對不可計入**。原題敘述錯誤。</t>
  </si>
  <si>
    <t>汽車製造公司在進行新車款開發計劃評估時，上市後對既有車型銷售的負面影響，必須計 入計畫評估時之現金流量。</t>
  </si>
  <si>
    <t>這個陳述是**對的**（應填 **`O`**）。
### 1. 侵蝕效應 / 產品相互蠶食 (Cannibalization / Erosion)
在資本預算中，新產品上市導致公司既有產品銷售額下降的現象，稱為**侵蝕效應 (Erosion)**，屬於一種**負向的副效果 (Side Effect)**。
---
### 2. 增量現金流量 (Incremental Cash Flows) 原則
評估專案時必須考量「有此專案 vs. 無此專案」的整體現金流差異。因為開發新車款會侵蝕舊車款的獲利，這項流失的現金流屬於專案帶來的**真實機會成本/增量現金流出**，因此必須在計畫評估時扣除。本題敘述完全正確。</t>
  </si>
  <si>
    <t>X, 須計入/正向副效果</t>
  </si>
  <si>
    <t>汽車製造公司在進行新車款開發計劃評估時，售後相關零組件的銷售之現金流量不須計入 計畫評估時之現金流量。</t>
  </si>
  <si>
    <t>這個陳述是**錯的**（判斷題應填 **`X`**）。
這題考的是資本預算中估計**「增量現金流量 (Incremental Cash Flows)」時，對於「副作用（Side Effects / 綜效）」**的正確處理原則。
以下為您進行詳細的學理解析與觀念拆解：
---
### 1. 核心判定：售後零組件的現金流量「必須」計入
在進行長期投資計畫（如新車款開發）評估時，財務管理的核心原則是**「只看增量現金流量」**。
* **雙向影響皆須納入**：評估時不僅要扣除對現有產品的負面衝擊（侵蝕效果 / 產品替代 Cannibalization），也必須完整計入因新計畫而額外帶來的正面收益，即**「售後服務與耗材 / 零組件 (Aftermarket) 的銷售現金流」**。
* **低估價值的風險**：若漏掉售後零組件與維修等互補性現金流入，將會嚴重低估該計畫的真實淨現值 ($NPV$)，可能導致管理階層做出錯誤拒絕的決策。
---
### 2. 產業實務案例：汽車與設備製造業的綜效
以**「汽車製造公司」**為例：
* **本體專案銷售**：新車款的銷售固然會產生一次性的現金流入，但新車在未來上路後，會持續創造龐大且高毛利的定期維修、原廠耗材與專屬零配件銷售。
* **綜效 (Synergy) 的財務本質**：這些售後零組件的銷售完全是由「開發並售出該款新車」所額外誘發 (Incremental) 出來的互補性收益 (Complementary Revenues)。若未開發此車款，便不會存在後續的零組件市場。因此，這部分在財務學理上屬於計畫的正向副作用（綜效），**必須百分之百納入計畫現金流量中評估**。
---
### 結論
資本預算評估中，只要是伴隨新計畫而生的增量現金流（無論是負向的侵蝕效果還是正向的售後綜效），都必須納入計算。因此，主張「售後相關零組件之現金流量不須計入」屬於評估漏洞，本題陳述為錯誤。</t>
  </si>
  <si>
    <t>X, 股東擁有買權，債權人賣出賣權</t>
  </si>
  <si>
    <t>對股份有限公司債權人而言，相當於擁有一個買入選擇權（Call Option），此選擇權的執行 價格是負債總額。</t>
  </si>
  <si>
    <t>這個陳述是**錯的**（應填 **`X`**）。
### 1. Merton 選擇權公司評價模型
在選擇權定價模型中，公司的權益與債務角色如下：
1. **股東 (Shareholders)**：
* 相當於擁有一個以公司總資產 $V_T$ 為標的、執行價格為負債面額 $D$ 的**買入選擇權 (Call Option)**。
2. **債權人 (Debtholders)**：
* 相當於擁有公司資產並**賣出一個買權**給股東；或者等同於持有無風險債務並**賣出一個賣權 (Short Put Option)** 給股東。
---
### 結論
擁有買權的是**股東**而非債權人，原題主客體顛倒，故為錯誤。</t>
  </si>
  <si>
    <t>獲利指數法的 PI 值大於 1 時，在 IRR 有唯一解情形下，IRR 一定大於要求報酬率。</t>
  </si>
  <si>
    <t>這個陳述是**對的**（應填 **`O`**）。
### 1. 投資評估三大指標之一致性
對於單一、標準現金流量（期初支出，後續流入）且內部報酬率有唯一實數解的專案：
$$PI &gt; 1 \iff NPV &gt; 0 \iff IRR &gt; R \text{ (要求報酬率)}$$
---
### 2. 邏輯證明
* $PI = \frac{\text{未來現金流量現值}}{CF_0} &gt; 1 \implies \text{未來現金流量現值} &gt; CF_0 \implies NPV = \text{現值} - CF_0 &gt; 0$。
* 當 $NPV &gt; 0$ 時，代表專案的實質回報率超越了折現門檻率，因此 **$IRR &gt; R$ 必定成立**。三者給出完全相同的決策結果。</t>
  </si>
  <si>
    <t>X, 營運風險愈大</t>
  </si>
  <si>
    <t>營運依賴機器設備廠房愈多的企業，其財務風險愈大。</t>
  </si>
  <si>
    <t>這個陳述是**錯的**（應填 **`X`**）。
### 1. 營運風險 (Operating Risk) vs. 財務風險 (Financial Risk)
1. **營運風險 (Operating Risk)**：
* **來源**：公司的資產結構與**固定營運成本（機器廠房的折舊與攤銷）**。
* **機制**：依賴機器設備越多，固定折舊越重，**營運槓桿度 (DOL)** 越大，銷貨變動引起的營業利益波動越大，即**營運風險愈大**。
2. **財務風險 (Financial Risk)**：
* **來源**：公司的資本結構與**負債利息負擔**（財務槓桿 DFL）。
---
### 結論
廠房設備帶來的是**營運風險**而非財務風險，原題觀點混淆，故為錯誤。</t>
  </si>
  <si>
    <t>X, 會影響/財務槓桿提高系統風險</t>
  </si>
  <si>
    <t>財務槓桿不會影響企業系統風險的大小。</t>
  </si>
  <si>
    <t>這個陳述是**錯的**（應填 **`X`**）。
### 1. 哈馬達公式 (Hamada Equation) 之推導
哈馬達公式揭示了權益系統性風險 (有槓桿 Beta, $\beta_L$)、無槓桿資產風險 ($\beta_U$) 與財務槓桿 ($D/E$) 的關係：
$$\beta_L = \beta_U \times \left[ 1 + (1 - T_c) \times \frac{D}{E} \right]$$
---
### 2. 財務槓桿對系統風險的放大作用
1. **無槓桿 Beta ($\beta_U$)**：僅反映企業本業的營運系統風險。
2. **有槓桿 Beta ($\beta_L$)**：隨著舉債比例 $\frac{D}{E}$（財務槓桿）的提高，股東承擔的系統性風險 $\beta_L$ 會被顯著放大。
3. **結論**：財務槓桿**會顯著提高**企業股權的系統性風險大小。原題敘述錯誤。</t>
  </si>
  <si>
    <t>損益表強調流量的概念。</t>
  </si>
  <si>
    <t>這個陳述是**對的**（應填 **`O`**）。
### 1. 流量 (Flow) 與存量 (Stock) 之定義
* **流量 (Flow)**：衡量在**一段特定時間區間內（Period of Time）**所發生的動態累積累積金額（例如：2025/01/01 至 2025/12/31）。
* **存量 (Stock)**：衡量在**特定時間點上（Point in Time）**的靜態餘額（例如：2025/12/31 告一段落時）。
---
### 2. 三大財務報表之屬性
1. **損益表 (Income Statement)**：呈現一定期間內的營收與費用，屬**流量**概念。
2. **現金流量表 (Cash Flow Statement)**：呈現一定期間內現金流入流出，屬**流量**概念。
3. **資產負債表 (Balance Sheet)**：呈現特定時點之資產、負債與權益，屬**存量**概念。本題敘述完全正確。</t>
  </si>
  <si>
    <t>2024/9/8</t>
  </si>
  <si>
    <t>X, 不容易，波動↑，風險↑</t>
  </si>
  <si>
    <t>這個陳述是**錯的**（應填 **`X`**）。
### 1. 股權作為買權 (Call Option) 之特性
在 Merton 選擇權模型中，股權等同於標的資產為公司總資產 ($V_T$)、執行價格為負債面額 ($D$) 的買權：
* **資產變動性（波動度 $\sigma$）越大**：由於選擇權具備「上檔獲利無限、下檔損失有限（有限責任）」的不對稱損益結構，資產高波動性會增加沖高獲利的概率，推升**股權的評價現值（期望價值）**。
---
### 2. 為什麼「價值越大」不等於「越容易獲利」？
1. **破產與歸零風險暴增**：波動度大代表極度不確定。雖然極端獲利的機率上升，但資產價值跌破負債面額（導致公司破產、股權價值歸零）的風險也同步飆升。
2. **獲利難度更高等**：高波動性意味著極高的不確定性，股東要穩定實現正報酬的難度反而大幅增加，必須承擔極高的血本無歸風險。不能將「期望價值變大」混淆為「越容易獲利」。</t>
  </si>
  <si>
    <t>X, 營運現金流量</t>
  </si>
  <si>
    <t>計畫評估時，如果總投資金額為 100 億，資金來源為舉債 40 億，權益資金為 60 億，而且假設僅期初投資，未來各期現金流入來回收，而且權益資金的要求報酬率為 RE，計畫(或資產)的未來要求報酬率為 RA，當採淨現值法(NPV 法)時，如果 CF0= -100 億，則未來各期現金流量為&lt;span style="color: red; text-decoration: underline;"&gt;權益現金流量&lt;/span&gt;。</t>
  </si>
  <si>
    <t>這個陳述是**錯的**（應填 **`X`**）。
### 1. 評估觀點與現金流量之參數一致性
* 當期初投入 $CF_0 = -100$ 億時，代表評估採取的是**資產/計畫觀點**（計算整體 100 億資產的創價能力）。
* 在資產觀點下，未來各期現金流量必須採用未扣除利息支出的非槓桿**營運現金流量 ($OCF$)**。
* 若错用「權益現金流量」（已扣除利息），則會重複扣除債務成本，嚴重低估計畫價值。原題敘述錯誤。</t>
  </si>
  <si>
    <t>計畫評估時，如果總投資金額為 100 億，資金來源為舉債 40 億，權益資金為 60 億，而且假設僅期初投資，未來各期現金流入來回收，而且權益資金的要求報酬率為 RE，計畫(或資產)的未來要求報酬率為 RA，當採用淨現值法(NPV 法)時，如果未來各期現金流量扣除債務利息支出，則 CF0= &lt;span style="color: red; text-decoration: underline;"&gt;-60&lt;/span&gt; 億。</t>
  </si>
  <si>
    <t>這個陳述是**對的**（應填 **`O`**）。
### 1. 股權觀點 NPV 評估之對稱性
* 當未來各期現金流量**已扣除債務利息與還本支出**時，代表我們採取的是**股權觀點**。
* 在股權觀點下，期初投入金額 ($CF_0$) 必須精確反映股東實際自掏腰包投入的權益資金，即 $100 \text{ 億 (總額)} - 40 \text{ 億 (舉債)} = -60$ 億。本題參數對應完全正確。</t>
  </si>
  <si>
    <t>X, RE</t>
  </si>
  <si>
    <t>公司使用保留盈餘為內部權益資金，其資金成本為 &lt;span style="color: red; text-decoration: underline;"&gt;RWACC&lt;/span&gt;。</t>
  </si>
  <si>
    <t>這個陳述是**錯的**（應填 **`X`**）。
### 1. 內部權益資金成本 (Cost of Retained Earnings)
保留盈餘屬於股東留在公司的資金，其機會成本即為股東要求的**權益資金成本 $R_E$**。
* $R_{WACC}$ 是綜合了負債成本 $R_D$ 與權益成本 $R_E$ 的加權平均資金成本，而非單純內部權益的成本。原題名詞混淆。</t>
  </si>
  <si>
    <t>如果可以由內線消息獲取超額報酬，則 &lt;span style="color: red; text-decoration: underline;"&gt;強式效率市場&lt;/span&gt; 必然不成立。</t>
  </si>
  <si>
    <t>這個陳述是**對的**（應填 **`O`**）。
### 1. 強式效率市場 (Strong-Form Efficiency) 之定義
強式效率市場假設股價已完全反映包含歷史價量、公開財報以及**未公開內線消息 (Private Information)** 的所有資訊。
* 若有人能利用內線消息賺取超額報酬，證明未公開資訊尚未被股價完全反映，因此**強式效率市場必然不成立**。本題敘述完全正確。</t>
  </si>
  <si>
    <t>X, 0 (Zero)</t>
  </si>
  <si>
    <t>X, MM 理論有最適資本結構</t>
  </si>
  <si>
    <t>融資順位理論及 MM 理論 &lt;span style="color: red; text-decoration: underline;"&gt;皆無&lt;/span&gt; 公司具有最適資本結構的概念。</t>
  </si>
  <si>
    <t>這個陳述是**錯的**（應填 **`X`**）。
### 1. 兩大資本結構理論對比
1. **權衡/MM 資本結構理論**：考慮稅盾與破產成本後，認為存在使公司價值極大化的**理想/最適資本結構**。
2. **融資順位理論 (Pecking Order)**：認為公司**無**固定的最適資本結構目標。原題稱「皆無」係屬錯誤。</t>
  </si>
  <si>
    <t>X, Project B</t>
  </si>
  <si>
    <t>X, 增加</t>
  </si>
  <si>
    <t>X, 升高/增加</t>
  </si>
  <si>
    <t>X, 較少</t>
  </si>
  <si>
    <t>依照融資順位理論，公司喜歡資金寬裕（Financial Slack），因此獲利公司使用 &lt;span style="color: red; text-decoration: underline;"&gt;較多&lt;/span&gt; 負債融資。</t>
  </si>
  <si>
    <t>這個陳述是**錯的**（應填 **`X`**）。
### 1. 融資順位理論與獲利能力
融資順位優先使用內部保留盈餘。獲利能力強的公司內部現金流充沛，能完全支應投資計畫，因此需要對外舉債的需求極低，會使用**較少**的負債融資。原題寫成「較多」係屬錯誤。</t>
  </si>
  <si>
    <t>財務槓桿提高會 &lt;span style="color: red; text-decoration: underline;"&gt;增加&lt;/span&gt; 權益貝他係數。</t>
  </si>
  <si>
    <t>這個陳述是**對的**（應填 **`O`**）。
### 1. 哈馬達公式 (Hamada Equation)
$$\beta_L = \beta_U \times \left[ 1 + (1 - T_c) \times \frac{D}{E} \right]$$
財務槓桿 ($D/E$) 提高會直接放大股東承擔的財務風險，從而**增加（提高）**權益貝他係數 ($\beta_L$)。本題敘述完全正確。</t>
  </si>
  <si>
    <t>X, 不合理</t>
  </si>
  <si>
    <t>為維持穩定的股利發放，以增發新股取得足夠現金來發放，為 &lt;span style="color: red; text-decoration: underline;"&gt;合理&lt;/span&gt; 的支付政策。</t>
  </si>
  <si>
    <t>這個陳述是**錯的**（應填 **`X`**）。
### 1. 新股發行與股利發放之不合理性
增發新股存在高昂發行成本與負面訊號效果。用高成本的外部發股資金來支付現金股利屬於**不合理**的財務支付政策。原題敘述錯誤。</t>
  </si>
  <si>
    <t>X, 45 天</t>
  </si>
  <si>
    <t>X, B計畫的計畫報酬率高於市場要求報酬率</t>
  </si>
  <si>
    <t>右圖表示公司資金成本與證券市場線的關係。現有兩個互斥計畫待選，由於 B 計畫的計畫報酬率 &lt;span style="color: red; text-decoration: underline;"&gt;低於公司資金成本，因此選擇 A 計畫為投資決策，對公司較有利&lt;/span&gt;
![20240908](https://lh3.googleusercontent.com/d/1bH0prCKKrJKXkXS3yBFLK3VYz9CdqDwO)</t>
  </si>
  <si>
    <t>這個陳述是**錯的**（判斷題應填 **`X`**）。
這題考的是財務管理中**「單一公司資金成本 (WACC) 在評估不同風險的互斥計畫時所造成的決策衝突」**。
以下為您進行詳細的學理解析與觀念對照：
### 1. 前半句的客觀事實：是對的
* **敘述**：「由於 B 計畫的計畫報酬率低於公司資金成本」
* **學理對照**：在專案評估圖中，**B 計畫** 確實落在公司資金成本線（加權平均資金成本, $WACC$ 水平線）的**下方**。因此這部分的圖形位置描述是完全正確的。
---
### 2. 後半句的投資決策：是錯的（完全選錯了計畫）
* **敘述**：「因此選擇 A 計畫為投資決策，對公司較有利」
* **學理分析與真實現金流判定**：
  * **B 計畫（低風險、創造價值）**：B 計畫位於 **證券市場線 (SML) 的上方**。在 SML 上方的專案，代表其預期報酬率高於該風險水準下投資人要求的最低回報率，其實質 **$NPV &gt; 0$**。這是一個能為股東**「創造（增加）價值」**的優質計畫。
  * **A 計畫（高風險、摧毀價值）**：A 計畫位於 **證券市場線 (SML) 的下方**。在 SML 下方的專案，代表其預期報酬率太低，無法彌補其高系統性風險（高 $\beta$），其實質 **$NPV &lt; 0$**。這是一個會**「摧毀（減少）公司價值」**的計畫。
  * **互斥計畫的決策準則**：當面對**「互斥計畫 (Mutually Exclusive Projects)」**（兩者只能選其一）時，財務決策的核心準則是**「極大化公司與股東的價值」**。
  * **決策結論**：選擇 B 計畫能為公司賺取淨超額價值 ($NPV &gt; 0$)，而選擇 A 計畫則會讓公司蒙受實質價值減損 ($NPV &lt; 0$)。因此，**選擇 B 計畫才對公司有利，選擇 A 計畫是嚴重的錯誤決策**。
---
### 3. 盲用 WACC 造成的決策盲點
若公司管理階層**採用單一 $WACC$ 作為所有不同風險專案的門檻率**，會產生以下決策偏差：
1. **對 B 計畫（錯誤拒絕）**：因為 B 計畫的預期報酬低於公司的 $WACC$（在資金成本水平線下方），公司會**錯誤地將其拒絕 (Wrongly Reject)**，錯失低風險、能創造價值的優質專案。
2. **對 A 計畫（判定分析）**：在圖中，A 計畫若同樣位於 $WACC$ 水平線的下方，雖會被拒絕，但其主因在於 A 計畫相較於其高風險水準並未提供足夠補償 ($NPV &lt; 0$)。
3. **互斥對比的邏輯謬誤**：原陳述聲稱「因為 B 低於公司資金成本，所以選 A」。但事實上，**A 計畫的系統性風險 ($\beta$) 極高，其報酬率相對於其面臨的風險而言，實質表現遠劣於 B 計畫**。
### 結論
評估專案價值必須以**其相對於證券市場線 (SML) 的位置（即風險調整後的 $NPV$ 是否大於 0）**為準，而非單純與公司整體的 $WACC$ 水平線比較。A 計畫為實質損耗價值的專案 ($NPV &lt; 0$)，選擇 A 計畫對公司並無利益，故原陳述為錯誤。</t>
  </si>
  <si>
    <t>X, 越高</t>
  </si>
  <si>
    <t>X, 降低/減少</t>
  </si>
  <si>
    <r>
      <rPr>
        <rFont val="Microsoft JhengHei"/>
        <color theme="1"/>
        <sz val="12.0"/>
      </rPr>
      <t xml:space="preserve">這個陳述是**錯的**（判斷題應填 **`X`**）。
這題考的是**有稅情形下的 MM 第二命題 (MM Proposition II with Taxes)** 中，資本結構（槓桿程度）與加權平均資金成本 ($R_{WACC}$) 之間的變動關係。
以下為您進行詳細的學理解析與觀念拆解：
---
### 1. 核心判定：$R_{WACC}$ 隨槓桿增加而「下降」
根據 MM 有稅理論，當我們把**公司所得稅 (Corporate Tax)** 納入考量時，**公司的加權平均資金成本 ($R_{WACC}$) 會隨著槓桿程度（舉債比例）的增加而「下降（減少）」，而非增加**。
其背後的驅動邏輯為：
* **利息稅盾 (Interest Tax Shield) 效果**：公司舉債所支付的利息可以列為費用以扣抵應稅所得，使公司減少支付 $T_c \times R_D \times D$ 的所得稅款。
* **拉低實質負債成本**：因為有利息稅盾，公司實質承擔的稅後負債資金成本變為更便宜的 **$R_D \times (1 - T_c)$**。
* **拉低整體 $R_{WACC}$**：隨著舉債比例（槓桿）提高，這部分成本較低的稅後債務資金在 $WACC$ 的加權比重隨之增加。在數學上，$WACC$ 會隨著負債比率的提升而**逐步下降**，進而推動公司價值逐步上揚（即 $V_L = V_U + T_c D$）。
---
### 2. 容易混淆的盲點：WACC 還是股權成本 ($R_E$)？
此題常見的混淆點，在於將 **加權平均資金成本 ($R_{WACC}$)** 與 **股權資金成本 ($R_E$)** 混為一談：
* **股權資金成本 ($R_E$) 確實會增加**：根據 MM 第二命題，不論有無稅，隨著舉債程度 ($D/E$) 提高，股東承擔的財務風險增加，因此**股權要求報酬率 ($R_E$) 確實會呈正斜率往上增加**。
* **WACC ($R_{WACC}$) 依然會下降**：雖然股權成本 ($R_E$) 被拉高，但在有稅環境下，**股權成本上升的幅度，並不足以完全抵消「利息稅盾」所帶來的省稅效益**。因此，兩者加權平均後的整體 $WACC$ 依然是呈現**單向下降趨勢**。
---
### </t>
    </r>
    <r>
      <rPr>
        <rFont val="Segoe UI Symbol"/>
        <color theme="1"/>
        <sz val="12.0"/>
      </rPr>
      <t>💡</t>
    </r>
    <r>
      <rPr>
        <rFont val="微軟正黑體"/>
        <color theme="1"/>
        <sz val="12.0"/>
      </rPr>
      <t xml:space="preserve"> 核心理論速記對照表（MM 理論比較）
| MM 資本結構理論 | 槓桿程度增加時，股權要求報酬率 ($R_E$) | 槓桿程度增加時，加權平均資金成本 ($WACC$) |
| :--- | :--- | :--- |
| **無稅 MM 理論** | </t>
    </r>
    <r>
      <rPr>
        <rFont val="Segoe UI Symbol"/>
        <color theme="1"/>
        <sz val="12.0"/>
      </rPr>
      <t>📈</t>
    </r>
    <r>
      <rPr>
        <rFont val="微軟正黑體"/>
        <color theme="1"/>
        <sz val="12.0"/>
      </rPr>
      <t xml:space="preserve"> **線性增加**（彌補財務風險） | </t>
    </r>
    <r>
      <rPr>
        <rFont val="Segoe UI Symbol"/>
        <color theme="1"/>
        <sz val="12.0"/>
      </rPr>
      <t>➖</t>
    </r>
    <r>
      <rPr>
        <rFont val="微軟正黑體"/>
        <color theme="1"/>
        <sz val="12.0"/>
      </rPr>
      <t xml:space="preserve"> **維持不變**（資本結構無關） |
| **有稅 MM 理論** | </t>
    </r>
    <r>
      <rPr>
        <rFont val="Segoe UI Symbol"/>
        <color theme="1"/>
        <sz val="12.0"/>
      </rPr>
      <t>📈</t>
    </r>
    <r>
      <rPr>
        <rFont val="微軟正黑體"/>
        <color theme="1"/>
        <sz val="12.0"/>
      </rPr>
      <t xml:space="preserve"> **增加（斜率變緩）** | </t>
    </r>
    <r>
      <rPr>
        <rFont val="Segoe UI Symbol"/>
        <color theme="1"/>
        <sz val="12.0"/>
      </rPr>
      <t>📉</t>
    </r>
    <r>
      <rPr>
        <rFont val="微軟正黑體"/>
        <color theme="1"/>
        <sz val="12.0"/>
      </rPr>
      <t xml:space="preserve"> **逐步下降**（因具備利息稅盾） |
### 結論
在考慮所得稅的 MM 第二命題中，加權平均資金成本 ($WACC$) 隨槓桿程度的提升應呈現**下降趨勢**。原陳述若主張 WACC 隨槓桿上升，則為錯誤。</t>
    </r>
  </si>
  <si>
    <t>X, 大於 1</t>
  </si>
  <si>
    <t>若現金股利稅率較資本利得稅率高，公司應採 &lt;span style="color: red; text-decoration: underline;"&gt;低股利政策&lt;/span&gt;，以使股東價值達到最大。</t>
  </si>
  <si>
    <t>這個陳述是**對的**（判斷題應填 **`O`**）。
這題考的是股利政策中的**「租稅偏好理論 (Tax Preference Theory)」**（或稱**稅效果假說**）以及**「顧客效果 (Clientele Effect)」**與**「股票購回」**的租稅機制。
以下為您進行詳細的學理解析與觀念推導：
---
### 1. 租稅偏好理論的核心邏輯
* **稅後財富極大化**：對股東而言，最終目標是追求「稅後實質財富」的最大化，而非單純的名目配息金額。
* **稅率不對稱的衝擊**：當**現金股利稅率高於資本利得稅率**時，股東每收到一元的現金股利，其稅後實質所得會大打折扣。相反地，如果公司採取「低股利政策」，將盈餘保留在公司內部進行再投資，會反映在公司股價的增值上。股東因此獲得**資本利得**，不僅能享受較低的稅率，且在「未賣出股票實現獲利前」還能享有延遲課稅的好處。
* **推導結論**：為使股東的稅後實質價值達到最大，公司最理性的決策就是採取**低股利政策**，減少高稅率現金股利的發放。
---
### 2. 實務機制延伸：顧客效果與股票購回
* **顧客效果 (Clientele Effect) 與邊際稅率**：
  不同的股東面臨不同的個人邊際稅率，這會直接決定其對公司股利政策的偏好。當公司股東主要由高稅率階層組成時，由於現金股利會立即面臨高額課稅，投資人更偏好資本利得。因此，順應此類股東偏好的最佳決策即為**低股利政策**。
* **股票購回 (Stock Repurchase) 的租稅優勢**：
  當公司盈餘充沛但股東因稅率不希望發放現金股利時，可透過**股票購回**作為替代方案。股票購回使流通在外股數減少、提升每股盈餘 ($EPS$) 並支撐股價。股東藉此取得稅率較低的資本利得，避免了現金股利立即課稅的損失。
---
### 結論
在「現金股利稅率 ＞ 資本利得稅率」的前提下，發放高現金股利會直接減損股東的稅後實質財富。因此，**公司應採取低股利政策以使股東價值最大化**，原陳述完全正確。</t>
  </si>
  <si>
    <t>若 MM 的完美市場存在時， &lt;span style="color: red; text-decoration: underline;"&gt;股利政策&lt;/span&gt; 並不會影響 到公司價值。因為投資者會使用 自製股利來為自己創造所偏好的現金流量。</t>
  </si>
  <si>
    <r>
      <rPr>
        <rFont val="Microsoft JhengHei"/>
        <color theme="1"/>
        <sz val="12.0"/>
      </rPr>
      <t xml:space="preserve">這個陳述是**對的**（判斷題應填 **`O`**）。
這題考的是財務管理中極為經典的 **MM 股利無關論 (Dividend Irrelevance Theory)**，由 Miller 與 Modigliani (1961) 提出。
以下為您詳細拆解該理論的核心邏輯與運行機制：
---
### 1. 理論核心：公司的價值取決於「投資」，而非「分配」
在 MM 完美資本市場（無稅收、無交易成本、資訊完全對稱、借貸利率相同）的假設下：
* **公司的價值**：完全由公司的**資產獲利能力與投資決策**（即企業整體創造現金流的能力）決定。
* **股利政策**：僅決定如何將盈餘在「保留盈餘」與「現金股利」之間切分，屬於單純的分配決策，並不會改變企業本身的實質總價值。
---
### 2. 關鍵機制：自製股利 (Homemade Dividends)
在完美市場中，股利政策之所以不影響股東總財富，關鍵在於**投資人可零成本地在資本市場進行「自製股利」操作**，自行調配符合自身偏好的現金流型態：
* **情境一：當公司「不發股利（或發放不足）」，但股東需要現金時**
  * **操作方式**：股東可自行在二級市場**出售部分股票**變現。
  * **實質效果**：在無交易成本與無稅負的環境下，「變賣持股換現」與「直接領取現金股利」對股東財富的效果完全等價。
* **情境二：當公司「發放高額股利」，但股東偏好繼續投資時**
  * **操作方式**：股東可將收到的現金股利**在二級市場買回該公司股票**（增加持股）。
  * **實質效果**：此操作與公司不發股利、直接將盈餘留存於內部進行再投資的效果完全相同。
既然股東可自行零成本複製出任意型態的現金流，公司管理階層的股利決策便無法提供額外價值，故**股利政策完全不影響公司總價值與股東財富**。
---
### </t>
    </r>
    <r>
      <rPr>
        <rFont val="Segoe UI Symbol"/>
        <color theme="1"/>
        <sz val="12.0"/>
      </rPr>
      <t>💡</t>
    </r>
    <r>
      <rPr>
        <rFont val="微軟正黑體"/>
        <color theme="1"/>
        <sz val="12.0"/>
      </rPr>
      <t xml:space="preserve"> 財務觀念整合：再投資報酬率與機會成本 ($R_e$)
股東對股利發放的偏好，本質上取決於**「公司內部再投資報酬率」**與**「股東權益機會成本 ($R_e$)」**的比較：
* 若內部計畫報酬率高於股東要求報酬率 ($R_e$)，保留盈餘進行再投資能創造更大價值。
* 若內部計畫報酬率低於股東要求報酬率 ($R_e$)，將資金以股利形式返還給股東自行投資更為有利。
在 MM 完美資本市場假設下，市場處於完全競爭與充分定價狀態，使「自製股利」的替代機制得以完全實現，進而推導出股利無關的結論。</t>
    </r>
  </si>
  <si>
    <t>負債的 &lt;span style="color: red; text-decoration: underline;"&gt;信號放射理論&lt;/span&gt; 認為，預期高獲利的公司將提高負債比例。</t>
  </si>
  <si>
    <r>
      <rPr>
        <rFont val="Microsoft JhengHei"/>
        <color theme="1"/>
        <sz val="12.0"/>
      </rPr>
      <t xml:space="preserve">這個陳述是**對的**（判斷題應填 **`O`**）。
這題考的是財務管理中極為經典的 **MM 股利無關論 (Dividend Irrelevance Theory)**，由 Miller 與 Modigliani (1961) 提出。
以下為您詳細拆解該理論的核心邏輯與運行機制：
---
### 1. 理論核心：公司的價值取決於「投資」，而非「分配」
在 MM 完美資本市場（無稅收、無交易成本、資訊完全對稱、借貸利率相同）的假設下：
* **公司的價值**：完全由公司的**資產獲利能力與投資決策**（即企業整體創造現金流的能力）決定。
* **股利政策**：僅決定如何將盈餘在「保留盈餘」與「現金股利」之間切分，屬於單純的分配決策，並不會改變企業本身的實質總價值。
---
### 2. 關鍵機制：自製股利 (Homemade Dividends)
在完美市場中，股利政策之所以不影響股東總財富，關鍵在於**投資人可零成本地在資本市場進行「自製股利」操作**，自行調配符合自身偏好的現金流型態：
* **情境一：當公司「不發股利（或發放不足）」，但股東需要現金時**
  * **操作方式**：股東可自行在二級市場**出售部分股票**變現。
  * **實質效果**：在無交易成本與無稅負的環境下，「變賣持股換現」與「直接領取現金股利」對股東財富的效果完全等價。
* **情境二：當公司「發放高額股利」，但股東偏好繼續投資時**
  * **操作方式**：股東可將收到的現金股利**在二級市場買回該公司股票**（增加持股）。
  * **實質效果**：此操作與公司不發股利、直接將盈餘留存於內部進行再投資的效果完全相同。
既然股東可自行零成本複製出任意型態的現金流，公司管理階層的股利決策便無法提供額外價值，故**股利政策完全不影響公司總價值與股東財富**。
---
### </t>
    </r>
    <r>
      <rPr>
        <rFont val="Segoe UI Symbol"/>
        <color theme="1"/>
        <sz val="12.0"/>
      </rPr>
      <t>💡</t>
    </r>
    <r>
      <rPr>
        <rFont val="微軟正黑體"/>
        <color theme="1"/>
        <sz val="12.0"/>
      </rPr>
      <t xml:space="preserve"> 財務觀念整合：再投資報酬率與機會成本 ($R_e$)
股東對股利發放的偏好，本質上取決於**「公司內部再投資報酬率」**與**「股東權益機會成本 ($R_e$)」**的比較：
* 若內部計畫報酬率高於股東要求報酬率 ($R_e$)，保留盈餘進行再投資能創造更大價值。
* 若內部計畫報酬率低於股東要求報酬率 ($R_e$)，將資金以股利形式返還給股東自行投資更為有利。
在 MM 完美資本市場假設下，市場處於完全競爭與充分定價狀態，使「自製股利」的替代機制得以完全實現，進而推導出股利無關的結論。</t>
    </r>
  </si>
  <si>
    <t>採行股票購回的原因之一為，該方案對 &lt;span style="color: red; text-decoration: underline;"&gt;公司或股東&lt;/span&gt; 皆有較多彈性。</t>
  </si>
  <si>
    <t>這個陳述是**對的**（判斷題應填 **`O`**）。
這題考的是企業發放股利與回饋股東的工具選擇——**「股票購回 (Stock Repurchase)」相較於「發放現金股利」的彈性優勢**。
以下為您詳細拆解為什麼「彈性較多」是採行股票購回的核心原因：
---
### 1. 對「公司」而言的彈性：避免股利僵固性與承諾壓力
* **現金股利的承諾壓力 (Dividend Stickiness)**：在財務學中，現金股利具有高度的「僵固性 (Sticky)」。一旦公司建立了特定的現金股利發放水準，市場與投資人便會建立持續配息的預期。若未來因營運考量調降或停止配息，常會被市場解讀為營運前景轉弱的負面訊號，進而對股價造成壓力。
* **股票購回的靈活自主**：股票購回通常被視為**「一次性、不定期」**的盈餘返還方式。公司在宣告購回後，可根據市場實際狀況與股價水準彈性調整執行進度，甚至因資金有其他效益更佳的投資用途而暫緩執行，不會產生調降常態股利帶來的市場衝擊。
---
### 2. 對「股東」而言的彈性：自由選擇是否實現利益
* **現金股利的被動接收**：當公司發放現金股利時，所有股東皆被動接收現金並於當期認列所得，面臨直接的稅負成本。
* **股票購回的自主選擇**：公司實施股票購回時，賦予了股東依個人資金與稅務規劃進行抉擇的彈性：
  1. **需要現金的股東**：可選擇將持股出售給公司變現，取得資本利得。
  2. **偏好長期投資的股東**：可選擇**繼續持有股份**。隨著流通在外股數減少，每股盈餘 ($EPS$) 獲得提升並支撐股價增值，股東可享受延遲課稅與資產增值的好處。
---
### 結論
股票購回**讓公司在資金調度與資本結構管理上具備高度靈活性，同時賦予股東自主決定變現時點與稅務規劃的自由**，因此「對公司與股東皆具備較多彈性」是實務上採用股票購回的重要核心誘因，原陳述完全正確。</t>
  </si>
  <si>
    <t>X, 小於</t>
  </si>
  <si>
    <t>若不考慮財務危機成本，僅考慮稅的因素，依照MM有關論公司，有最佳資本結 構為&lt;span style="color: red; text-decoration: underline;"&gt;舉債 100%&lt;/span&gt; 。</t>
  </si>
  <si>
    <r>
      <rPr>
        <rFont val="Microsoft JhengHei"/>
        <color theme="1"/>
        <sz val="12.0"/>
      </rPr>
      <t xml:space="preserve">這個敘述是**對的**（判斷題應填 **`O`**）。
這題考的是財務管理中極為經典的**「有公司稅（Corporate Taxes）下的 MM 命題一（MM Proposition I with Taxes）」**之極端推論。
以下為您進行最嚴密的學理剖析與課堂邏輯對照：
---
### 1. 理論公式的數學必然性：\\(V_L = V_U + T_c \times D\\)
在納入公司所得稅（稅率為 \\(T_c\\)）後，根據 MM 有稅命題一，有負債公司的價值（\\(V_L\\)）與無負債公司的價值（\\(V_U\\)）關係如下：
\\[V_L = V_U + \mathbf{T_c \times D}\\]
*   **利息稅盾（Interest Tax Shield）的線性增值**：
    因為公司舉債所支付的利息可以列為費用以扣抵稅額，公司每多舉一單位的債務（\\(D\\)），就能為公司創造 \\(T_c \times D\\) 的稅盾價值。
*   **不考慮財務危機成本的前提**：
    如果在前提中**「完全排除財務危機成本（如破產成本、違約風險或債務代理成本）」**，意味著公司不論舉債再多，都不會面臨破產倒閉的恐懼，債權人也不會因為風險拉高而要求更高的利率。
*   **結論**：
    既然舉債只有「省稅（增值）」的好處，而沒有任何「破產（減值）」的風險，那麼在數學上，**公司為了極大化其價值（\\(V_L\\)），最理性的決策就是將負債金額（\\(D\\)）拉到最高極限，也就是採用 100% 舉債的資本結構**。此時，公司的加權平均資金成本（WACC）也會被拉低至極限。
---
### </t>
    </r>
    <r>
      <rPr>
        <rFont val="Segoe UI Symbol"/>
        <color theme="1"/>
        <sz val="12.0"/>
      </rPr>
      <t>👨‍🏫</t>
    </r>
    <r>
      <rPr>
        <rFont val="微軟正黑體"/>
        <color theme="1"/>
        <sz val="12.0"/>
      </rPr>
      <t xml:space="preserve"> 課堂授課邏輯對照
這完全契合您 L7 課堂中，教授對於 MM 有稅理論極端假設的評論：
&gt; 「走到目前為止，這個 MM 理論告訴我即便有稅也不是那麼的貼近真實狀況。因為它還有很多其他因為舉債而衍生出來的成本或者效應完全沒有考慮進去。所以你今天說好我無限的去舉債下去，你都告訴我說公司價值會一直提高，但是那這個理論是不是沒有還考慮一些重要的其他的……會衍生出一些代理人之間的成本或者衝突。會讓這個公司價值往下掉。或者是因為你舉債舉過頭了怎麼樣？你可能就會產生財務危機或者或者是 default（違約）的機率就高。所以它不會無限制地舉債。」
教授的這段話直接點出：
1.  **在 MM 有稅的理論框架下（不考慮財務危機）**，公司的確會無限制地去舉債（即達到 100% 舉債的最佳資本結構）。
2.  **在實務世界中**，因為存在財務危機與違約風險，公司才不會真的舉債 100%，這也是後續必須引入**「抵換理論（Trade-off Theory）」**來平衡稅盾與破產成本的原因。
### 結論
在題目設定的**「不考慮財務危機成本，僅考慮稅的因素」**之理論邊界下，依照 MM 有稅理論，公司的最佳資本結構確實為**舉債 100%**。</t>
    </r>
  </si>
  <si>
    <t>X, 加權平均資金成本 RWACC</t>
  </si>
  <si>
    <t>X, 愈小</t>
  </si>
  <si>
    <t>這個陳述是**對的**（判斷題應填 **`O`**）。
這題考的是財務管理中對於**「效率市場假說 (Efficient Market Hypothesis, EMH)」**與**「隨機漫步 (Random Walk)」**關係的正確學理理解。
以下為您進行詳細的學理解析與觀念拆解：
---
### 1. 澄清對「隨機波動」的常見誤解
許多人常對「隨機漫步」產生直覺上的觀念偏差，誤以為「價格波動既然是隨機的，就代表股價不受到任何實質因素影響」。但在財務學理上，這個論點是錯誤的。
---
### 2. 股價隨機波動的真實主因：新資訊的隨機性
股價變動的本質依然是由「資訊」所驅動：
* **股價即時反映資訊**：在效率市場中，現行資產價格會迅速且充分地反映所有已知的市場資訊。
* **新資訊驅動價格變動**：股價之所以會產生新的上下波動，是因為有**「新資訊 (New Information)」**進入了市場。
* **新資訊本質具隨機性**：由於未來會發生的各項事件、未預期的消息以及其利多/利空程度，本質上都是**隨機產生且無法被事先精準預測的**。
* **隨機漫步形態的形成**：正因為驅動價格調整的根本源頭（新資訊的到來）是隨機的，因此市場上所觀察到的股價變動軌跡，才會呈現出不可預測的**隨機漫步 (Random Walk)** 形態。
---
### 結論
股票價格的波動並非毫無依據，它始終由市場資訊所驅動；正是因為**未來新資訊的發生時點與好壞程度具備隨機性**，才使得股價的調整軌跡呈現隨機漫步形態，故原陳述完全正確。</t>
  </si>
  <si>
    <t>X, 1.5．選擇同產業 β</t>
  </si>
  <si>
    <t>草莓公司有汽車銷售以及電腦銷售兩個部門，各佔公司總收入 50%，兩個部門的貝 他值分別為 1.5 及 0.9，如今草莓公司有一個增設汽車銷售據點的投資計劃，假設公 司未舉債，則該投資計畫的貝他值應採用 &lt;span style="color: red; text-decoration: underline;"&gt;1.2&lt;/span&gt;。</t>
  </si>
  <si>
    <t>這個陳述是**錯的**（應填 **`X`**）。
### 1. 純聚類法 / 純粹部門法 (Pure Play Approach)
專案資金成本應反映「該專案本身的風險（用途）」，而非公司整體的平均風險：
* 新計畫為「增設汽車銷售據點」，應直接採用**汽車銷售部門的貝他值 1.5**（而非公司兩個部門加權平均的 1.2）。原題錯用全公司平均 $\beta$，故為錯誤。</t>
  </si>
  <si>
    <t>2021/9/4</t>
  </si>
  <si>
    <t>現金循環越短時,代表公司存在流動性問題的可能&lt;span style="color: red; text-decoration: underline;"&gt;越低&lt;/span&gt;。</t>
  </si>
  <si>
    <t>這個陳述是**對的**（應填 **`O`**）。
### 1. 現金循環 (Cash Conversion Cycle, CCC) 與流動性
$$\text{現金循環長度} = \text{平均存貨天數} + \text{平均應收天數} - \text{平均應付天數}$$
現金循環代表資金被鎖在營運活動中的天數。
* **現金循環越短**：代表企業將營運投入轉化為現金收回的速度越快，資金周轉效益極佳。
* **流動性風險降至最低**：企業手頭營運資金充沛，發生週轉不靈（流動性危機）的可能性**越低**。本題敘述完全正確。</t>
  </si>
  <si>
    <t>X, 應避免發行股票來支付股利</t>
  </si>
  <si>
    <t>若公司現金不足,為維持一貫的股利發放水準可&lt;span style="color: red; text-decoration: underline;"&gt;增發新股以取得足夠現金以發放股利&lt;/span&gt;。</t>
  </si>
  <si>
    <t>這個陳述是**錯的**（應填 **`X`**）。
### 1. 股利支付與外部融資之財務法則
一個合理的財務支付政策**應避免增發股票（外部權益融資）來支付現金股利**：
1. **高昂發行成本 (Flotation Costs)**：發行新股需支付券商與法律會計費用，用高成本外部資金發股利會損害股東價值。
2. **負面訊號效果 (Signaling Effect)**：市場會將「發股充當股利」解讀為公司內部營運現金流乾涸的重大利空，導致股價崩跌。
3. **稀釋效應**：增發新股會稀釋股權與 $EPS$。原題敘述錯誤。</t>
  </si>
  <si>
    <t>X, 先拿到錢的再投資風險大,後拿到錢的價格風險大</t>
  </si>
  <si>
    <t>就債券而言·&lt;span style="color: red; text-decoration: underline;"&gt;先拿到錢的價格風險大,後拿到錢的再投資風險大&lt;/span&gt;。</t>
  </si>
  <si>
    <t>這個陳述是**錯的**（應填 **`X`**）。
### 1. 債券之兩大利率風險對比
1. **先拿到錢（現金流多集中在前期，如高票息或短期債券）**：
* **再投資風險 (Reinvestment Risk) 大**：投資人必須將早期收到的利息重新投入市場，若市場利率下跌，將面臨以低利率再投資的風險。
2. **後拿到錢（現金流多集中在後期，如零息或長到期債券）**：
* **價格風險 (Price Risk) 大**：存續期間 ($Duration$) 大，債券現值價格對市場利率波動高度敏感。
原題將兩者說反，故為錯誤。</t>
  </si>
  <si>
    <t>X, 營運活動現金流量</t>
  </si>
  <si>
    <t>在現金流量表中,&lt;span style="color: red; text-decoration: underline;"&gt;投資活動現金流量&lt;/span&gt;顯示本業之獲利能力,因此最為重要。</t>
  </si>
  <si>
    <t>這個陳述是**錯的**（應填 **`X`**）。
### 1. 現金流量表三大活動
* **營運活動現金流量 (CFO)**：**最為重要**，反映企業核心本業實質創造現金的能力。
* **投資活動現金流量 (CFI)**：反映買賣固定資產或長期投資之現金支出/收入。
原題將本業獲利能力錯歸為投資活動，應修正為「營運活動現金流量」。</t>
  </si>
  <si>
    <t>高度景氣循環的股票波動也大,因此會有&lt;span style="color: red; text-decoration: underline;"&gt;較高的貝他值&lt;/span&gt;。</t>
  </si>
  <si>
    <t>這個陳述是**對的**（應填 **`O`**）。
### 1. 景氣敏感度與貝他值 ($\beta$)
景氣循環股（如海運、鋼鐵、半導體）之營收與獲利對整體總體經濟變動高度敏感：
* 當大盤上漲時獲利暴增，大盤下跌時損益劇烈下滑，其對市場大盤的波動敏感度高，因此具備**較高的貝他值 ($\beta &gt; 1$)**。本題敘述完全正確。</t>
  </si>
  <si>
    <t>間接破產成本包含財務危機成本中,且間接破產成本是指&lt;span style="color: red; text-decoration: underline;"&gt;因財務危機而增加的營運與財務成本&lt;/span&gt;</t>
  </si>
  <si>
    <t>這個陳述是**對的**（應填 **`O`**）。
### 1. 財務危機與間接破產成本
財務危機成本包含直接與間接破產成本：
* **間接破產成本**：指企業陷入財務危機時，發生的客戶流失、供應商取消賒帳、優秀人才離職與資產賤賣等**營運與財務損失**。本題敘述完全正確。</t>
  </si>
  <si>
    <t>X, 大部分的購併案應可產生綜效</t>
  </si>
  <si>
    <t>現實世界中,大部分的購併案&lt;span style="color: red; text-decoration: underline;"&gt;並不能產生綜效&lt;/span&gt;。主要是因為合併後並未能成功整合兩家公司。</t>
  </si>
  <si>
    <t>這個陳述是**錯的**（應填 **`X`**）。
### 1. 併購綜效 (M&amp;A Synergy) 觀點
* 在財務學理與併購動機上，大部分併購案在設計與預期上**應可產生營運、財務或規模經濟之綜效 (Synergy)**。
* 雖然買方股東可能因支付高溢價而未獲利，但兩家公司合併後的整體營運規模原則上仍會產生正向綜效。原題敘述過於否定綜效之存在。</t>
  </si>
  <si>
    <t>由效率資本市場的資訊结合可知,當半強式效率市場成立時,&lt;span style="color: red; text-decoration: underline;"&gt;弱式效率市場必然成立&lt;/span&gt;·</t>
  </si>
  <si>
    <t>這個陳述是**對的**（應填 **`O`**）。
### 1. 效率市場假說資訊集合包含關係
三大效率市場之資訊集合關係為：
$$I_{\text{弱式 (歷史價量)}} \subset I_{\text{半強式 (公開資訊)}} \subset I_{\text{強式 (所有資訊)}}$$
當半強式效率市場成立時（股價已反映所有公開資訊），包含於公開資訊內的歷史價量資訊自然早已被股價反映，故**弱式效率市場必然成立**。本題敘述完全正確。</t>
  </si>
  <si>
    <t>當計畫淨現值等於 0 時,其獲利指數法的值&lt;span style="color: red; text-decoration: underline;"&gt;一定等於 1&lt;/span&gt;。</t>
  </si>
  <si>
    <t>這個陳述是**對的**（應填 **`O`**）。
### 1. NPV 與 PI 數學關係證明
$$PI = \frac{\text{未來現金流入現值}}{CF_0} = 1 + \frac{NPV}{CF_0}$$
當淨現值 $NPV = 0$ 時：
$$PI = 1 + \frac{0}{CF_0} = 1$$
獲利指數 $PI$ 一定等於 1。本題敘述完全正確。</t>
  </si>
  <si>
    <t>現金=&lt;span style="color: red; text-decoration: underline;"&gt;流動負債-其他非現金流動資產+淨營運資金&lt;/span&gt;</t>
  </si>
  <si>
    <t>這個陳述是**對的**（應填 **`O`**）。
### 1. 淨營運資金公式導導
根據淨營運資金定義：
$$NWC = \text{流動資產 (CA)} - \text{流動負債 (CL)}$$
其中 $\text{CA} = \text{現金} + \text{其他非現金流動資產}$。
代入並移項求現金：
$$NWC = (\text{現金} + \text{其他非現金流動資產}) - \text{流動負債}$$
$$\implies \text{現金} = \text{流動負債} - \text{其他非現金流動資產} + NWC$$
數學推導完全正確。</t>
  </si>
  <si>
    <t>CORONA 公司之平均應收款天數為 15 天,平均存貨天數為 50 天,平均付款天數為 20 天,則現金循環長度為 &lt;span style="color: red; text-decoration: underline;"&gt;70 天&lt;/span&gt;·</t>
  </si>
  <si>
    <t>這個陳述是**錯的**（應填 **`X`**）。
### 1. 現金循環 (CCC) 計算
$$\text{現金循環長度} = \text{平均應收天數} + \text{平均存貨天數} - \text{平均付款天數}$$
$$\text{現金循環長度} = 15 + 50 - 20 = 45 \text{ 天}$$
原題算成 70 天（誤算為營業循環），正確現金循環為 45 天。</t>
  </si>
  <si>
    <t>X, Re&gt;Ra=Rwacc&gt;Rd</t>
  </si>
  <si>
    <t>X, R*(1-tc 稅率)</t>
  </si>
  <si>
    <t>在實際世界中,若公司借款利率為 R,則其融資成本為 &lt;span style="color: red; text-decoration: underline;"&gt;R&lt;/span&gt;。</t>
  </si>
  <si>
    <t>這個陳述是**錯的**（應填 **`X`**）。
### 1. 利息稅盾下之稅後債務融資成本
在有公司所得稅 ($T_c$) 的真實世界中，負債利息支出可以在稅前列為費用扣抵所得稅：
$$\text{稅後債務融資成本} = R_D \times (1 - T_c)$$
因為稅盾效益降低了實際資金負擔，實質融資成本為 $R(1 - T_c)$，而非名目利率 $R$。</t>
  </si>
  <si>
    <t>消除暫時性現金赤字的最普遍方法則是使用&lt;span style="color: red; text-decoration: underline;"&gt;短期借款&lt;/span&gt;</t>
  </si>
  <si>
    <t>這個陳述是**對的**（應填 **`O`**）。
### 1. 短期融資工具之運用
對於季節性或短期時差引發的暫時性現金赤字，最具彈性與成本效益的工具是使用銀行短期借款或信用額度。本題敘述正確。</t>
  </si>
  <si>
    <t>X, 生產機會變少時</t>
  </si>
  <si>
    <t>其他情形不變下,經濟體系中生產機會&lt;span style="color: red; text-decoration: underline;"&gt;變多&lt;/span&gt;時,利率將有下降壓力。</t>
  </si>
  <si>
    <t>這個陳述是**錯的**（應填 **`X`**）。
### 1. 生產機會 (Production Opportunities) 與利率
* **生產機會變多**：企業對資本的需求極為強烈（資金供不應求），會推升資金借貸成本，使**利率產生上升壓力**。
* **生產機會變少**：資金需求停滯，利率才有**下降壓力**。原題敘述相反。</t>
  </si>
  <si>
    <t>1_公司理財導論_了解總體金融環境與市場</t>
  </si>
  <si>
    <t>MM 命題二在無稅的情形下,舉債&lt;span style="color: red; text-decoration: underline;"&gt;不影響&lt;/span&gt;公司債權資金成本。</t>
  </si>
  <si>
    <t>這個陳述是**對的**（應填 **`O`**）。
### 1. MM 無稅命題二假設
在 MM 無稅模型中，假設債務為無風險債務，其債權資金成本 $R_D$ 為固定常數（等於無風險利率 $R_f$），不隨舉債程度改變。本題敘述完全正確。</t>
  </si>
  <si>
    <t>在其他條件不變下,若要求報酬率小於 IRR,則 NPV &lt;span style="color: red; text-decoration: underline;"&gt;大於零&lt;/span&gt;。</t>
  </si>
  <si>
    <t>這個陳述是**對的**（應填 **`O`**）。
### 1. IRR 與 NPV 之對應準則
當折現門檻率 $R &lt; IRR$ 時，計算出來的淨現值必然 **$NPV &gt; 0$**。本題敘述正確。</t>
  </si>
  <si>
    <t>X, 會調整資本結構</t>
  </si>
  <si>
    <t>股票購回可視為公司盈餘發放的一種型式,但&lt;span style="color: red; text-decoration: underline;"&gt;無法調整資本結構&lt;/span&gt;。</t>
  </si>
  <si>
    <t>這個陳述是**錯的**（應填 **`X`**）。
### 1. 股票購回對資本結構之影響
股票購回使用現金買回普通股，會使帳上現金減少、股東權益總額 ($E$) 減少。
* **資本結構變動**：由於權益 $E$ 減少，公司的負債權益比 ($D/E$) 會顯著提高，從而**動態調整並改變資本結構**。原題稱「無法調整」係屬錯誤。</t>
  </si>
  <si>
    <t>X, 傾向少舉債，最適負債水準下降</t>
  </si>
  <si>
    <t>若調降公司營利業所得稅·此舉將使得公司&lt;span style="color: red; text-decoration: underline;"&gt;傾向舉債,造成公司的最適資本結構上升&lt;/span&gt;。</t>
  </si>
  <si>
    <t>這個陳述是**錯的**（應填 **`X`**）。
### 1. 稅率調降對資本結構之衝擊
當所得稅率 $T_c$ 調降時：
* 利息稅盾價值 $T_c D$ 縮水，舉債的節稅效益下降。
* 企業會**傾向少舉債**，最適負債水準與最適資本結構隨之**下降**。原題敘述相反。</t>
  </si>
  <si>
    <t>X, 會隨規模變大而變大</t>
  </si>
  <si>
    <t>即使公司規模變大,淨營運資金(Net working capital)通常還是&lt;span style="color: red; text-decoration: underline;"&gt;維持固定金額&lt;/span&gt;</t>
  </si>
  <si>
    <t>這個陳述是**錯的**（應填 **`X`**）。
### 1. 營運規模與 NWC 之同向變動
公司規模擴大時，應收帳款與存貨隨營業額同向成長，淨營運資金需求會**隨規模變大而同步增加**，不可能維持固定金額。原題敘述錯誤。</t>
  </si>
  <si>
    <t>對股份有限公司股東而言,相當有一個買入選擇權(Call Option),當買權報償等於 0 時,執行格 (Strike Price)&lt;span style="color: red; text-decoration: underline;"&gt;等於&lt;/span&gt;公司總資產</t>
  </si>
  <si>
    <t>這個陳述是**錯的**（判斷題應填 **`X`**）。
這題考的是財務管理中極為經典的**「股權作為公司資產買權 (Equity as a Call Option on Firm's Assets)」**之選擇權評價觀點（即 Merton 實質選擇權模型）。
以下為您詳細拆解其理論架構與邏輯盲點：
---
### 1. 股權與買權 (Call Option) 的正確對應關係
在實質選擇權框架下，有限責任股份有限公司的「股權」，在數學與財務結構上相當於一個以**「公司總資產」**為標的物之買權：
* **標的資產 (Underlying Asset, 記為 $V$)**：公司的總資產價值。
* **執行價格 (Strike Price, 記為 $K$)**：公司的負債面額（到期需償還的本利和）。
* **買權到期報償 (Payoff)**：在債務到期日，股東權益的價值（買權價值）為：
  $$\text{股權價值} = \max(V - K, 0) = \max(\text{公司總資產} - \text{負債面額}, 0)$$
---
### 2. 原敘述中的兩大核心邏輯錯誤
#### 錯誤一：執行價格 (Strike Price) 的定義顛倒
* **正確定義**：執行價格 ($K$) 代表**「公司的負債面額」**，而非公司總資產。
* **觀念拆解**：股東若要行使權利取得公司的完整資產所有權，必須支付（償還）既有的債務。因此，股東所需付出的履約成本為負債 ($K$)，清償後所換得的標的資產才是公司總資產 ($V$)。
#### 錯誤二：報償為 0 時的關係應為「不等式」
當買權到期報償等於 0（即公司資產不足以清償債務，股東選擇有限責任不履約、股權價值歸零）時，代表公司總資產價值小於或等於負債面額：
$$V \le K \quad (\text{公司總資產} \le \text{負債面額})$$
若總資產價值 ($V$) 為 3,000 萬元，負債 ($K$) 為 5,000 萬元，股東選擇放棄履約，此時報償為 0，但執行價格（5,000 萬）顯然**大於**公司總資產（3,000 萬），兩者並非等號關係。僅在剛好完全資不抵債的臨界點 ($V = K$)，兩者才短暫相等。
---
### 結論
此題在實質選擇權模型的標準定義應為：
&gt; 「對股份有限公司股東而言，相當於持有一個以**公司總資產**為標的資產的買權，**執行價格等於公司負債面額**。當公司總資產小於或等於負債面額 ($V \le K$) 時，買權到期報償（股東價值）將等於 0。」
原陳述將執行價格混淆為公司總資產，且將報償為 0 的條件誤植為兩者必定相等，故為錯誤。</t>
  </si>
  <si>
    <t>進行投資決策時,情境分析每次僅考慮&lt;span style="color: red; text-decoration: underline;"&gt;單一變數&lt;/span&gt;的對投資可行性的影響，以協助瞭解影響投資計畫成敗的關鍵變數。</t>
  </si>
  <si>
    <t>這個陳述是**錯的**（應填 **`X`**）。
### 1. 情境分析 vs. 敏感度分析
情境分析同時改變多個相關變數組合；每次僅考慮單一變數變動的是**敏感度分析**。原題定義混淆。</t>
  </si>
  <si>
    <t>X, 無存在最適資本結構的概念</t>
  </si>
  <si>
    <t>根據融資順位理論,認為企業&lt;span style="color: red; text-decoration: underline;"&gt;有預設的最適資本結構&lt;/span&gt;。</t>
  </si>
  <si>
    <t>這個陳述是**錯的**（應填 **`X`**）。
### 1. 融資順位理論之核心
融資順位理論認為企業不存在預設的最適資本結構目標，負債比例僅是累積融資需求的結果。原題敘述錯誤。</t>
  </si>
  <si>
    <t>X, 權益資金成本 RE</t>
  </si>
  <si>
    <t>進行計畫評估時,採取權益投資人觀點的淨現值(NPV)法須採用&lt;span style="color: red; text-decoration: underline;"&gt;加權平均資金成本 WACC&lt;/span&gt; 做為折現率。</t>
  </si>
  <si>
    <t>這個陳述是**錯的**（應填 **`X`**）。
### 1. 股權觀點折現率
採取權益觀點折現權益現金流時，折現率必須使用**權益資金成本 $R_E$**，而非 $WACC$。原題觀點不對稱。</t>
  </si>
  <si>
    <t>折衷的短期融資策略中,公司耗盡因季節性變異的流動資産時,常增加&lt;span style="color: red; text-decoration: underline;"&gt;長期借款&lt;/span&gt;方式解決。</t>
  </si>
  <si>
    <r>
      <rPr>
        <rFont val="Microsoft JhengHei"/>
        <color theme="1"/>
        <sz val="12.0"/>
      </rPr>
      <t xml:space="preserve">這個陳述是**錯的**（判斷題應填 **`X`**）。
這題考的是短期融資與營運資金管理中的**「短期融資策略 (Short-term Financing Policy)」**與季節性資金調度機制。
在財務管理中，企業因應季節性變異的流動資產（如旺季時增加的存貨與應收帳款），其資金籌措策略主要分為三種。無論從哪一個維度分析，原敘述主張「常增加長期借款方式解決」皆屬錯誤：
---
### 1. 理論架構：折衷短期融資策略的運作機制
**折衷短期融資策略 (Compromise Short-term Financing Policy)** 是介於「保守（彈性）策略」與「激進（緊縮）策略」之間的平衡配置：
* **長期資金（長期負債 + 股東權益）**：用於支應**「固定資產」**與**「永久性流動資產 (Permanent Current Assets)」**。
* **短期資金（短期借款）**：用於支應**「季節性流動資產 (Seasonal Current Assets)」**的波動需求。
---
### 2. 雙重邏輯剖析：為什麼「增加長期借款」是錯的？
#### 邏輯 A：當季節性流動資產「耗盡時」（淡季 / 季節性低谷）
* **財務狀態**：在淡季時，存貨已銷售變現、應收帳款已收回，季節性流動資產降至低點。
* **資金決策**：此時企業會累積**現金盈餘 (Excess Cash)**。在折衷策略下，企業會將閒置現金用於**投資「短期有價證券 (Marketable Securities)」**或**償還既有的短期借款**，並不會在此時增加長期借款。
#### 邏輯 B：當流動資產擴張導致「現金耗盡時」（旺季 / 季節性高峰）
* **財務狀態**：在旺季時，企業為備料與擴大賒銷，大量資金積壓於存貨與應收帳款中，手頭現金消耗完畢並產生短期週轉缺口。
* **資金決策**：為因應此短期資金缺口，企業應透過**「增加短期借款 (Short-term Borrowing)」**來支應，待淡季款項回收後即可結清。若以增加「長期借款」因應短期需求，將導致淡季時資金長期閒置，徒增不必要的資金成本。
---
### </t>
    </r>
    <r>
      <rPr>
        <rFont val="Segoe UI Symbol"/>
        <color theme="1"/>
        <sz val="12.0"/>
      </rPr>
      <t>💡</t>
    </r>
    <r>
      <rPr>
        <rFont val="微軟正黑體"/>
        <color theme="1"/>
        <sz val="12.0"/>
      </rPr>
      <t xml:space="preserve"> 短期融資策略類型對照表
| 短期融資策略類型 | 長期資金（長債 + 權益）支應對象 | 季節性資金缺口（旺季）支應方式 | 季節性現金盈餘（淡季）處置方式 |
| :--- | :--- | :--- | :--- |
| **保守 / 彈性型策略** &lt;br&gt;*(Flexible Policy)* | 固定資產 + 永久性流動資產 + **季節性流動資產高峰** | 不需借款（長期資金充裕） | 持有大量短期有價證券與現金 |
| **激進 / 緊縮型策略** &lt;br&gt;*(Restrictive Policy)* | 僅固定資產（部分永久性資產亦依賴短債） | **大量短期借款** | 幾無現金盈餘，不持有有價證券 |
| **折衷 / 穩健型策略** &lt;br&gt;*(Compromise Policy)* | 固定資產 + 永久性流動資產 | **增加短期借款**以度過旺季 | **投資短期有價證券**或償還短期借款 |
### 結論
在折衷短期融資策略下，面對季節性流動資產變動所產生的資金波動，企業主要透過**「短期借款與短期有價證券的相互調節」**來因應，而非增加長期借款，故原陳述為錯誤。</t>
    </r>
  </si>
  <si>
    <t>若 MM 的完美市場存在時，股利政策並不會影響到公司價值。因為投資者會使用&lt;span style="color: red; text-decoration: underline;"&gt;自製股利&lt;/span&gt;來為自己創造所偏好的現金流量。</t>
  </si>
  <si>
    <t>這個陳述是**對的**（應填 **`O`**）。
### 1. 自製股利機制
投資人能無成本買賣股票創造自製股利，故完美市場下股利政策不影響公司價值。本題敘述正確。</t>
  </si>
  <si>
    <t>企業會藉由舉債及股票購回來&lt;span style="color: red; text-decoration: underline;"&gt;下降自由現金流量衍生的代理成本&lt;/span&gt;</t>
  </si>
  <si>
    <t>這個陳述是**對的**（應填 **`O`**）。
### 1. 自由現金流量假說之應用
舉債與股票購回能強制將閒置自由現金流量發還給投資人，減少經理人浪費，有效下降代理成本。本題敘述正確。</t>
  </si>
  <si>
    <t>X, 個別風險可分散，系統風險不行</t>
  </si>
  <si>
    <t>以固定成長模型評估股價時,當成長率(g)愈高,則價值&lt;span style="color: red; text-decoration: underline;"&gt;愈大&lt;/span&gt;。</t>
  </si>
  <si>
    <t>這個陳述是**對的**（應填 **`O`**）。
### 1. 高登模型公式
$P_0 = \frac{D_1}{R_E - g}$。成長率 $g$ 越高，分母越小，股價現值 $P_0$ 愈大。本題敘述正確。</t>
  </si>
  <si>
    <t>考慮稅盾財務危機成本,依據 MM 資本結構理論,最適資本結構會讓公司選擇&lt;span style="color: red; text-decoration: underline;"&gt;最低的 Rwacc&lt;/span&gt;</t>
  </si>
  <si>
    <t>這個陳述是**對的**（應填 **`O`**）。
### 1. 權衡理論最適資本結構
公司價值極大化等同於加權平均資金成本 $R_{WACC}$ 極小化。本題敘述正確。</t>
  </si>
  <si>
    <t>X, 股權收購</t>
  </si>
  <si>
    <t>&lt;span style="color: red; text-decoration: underline;"&gt;資產收購&lt;/span&gt;是指主併公司用現金、股票或其他證券購得目標公司股權的方式。</t>
  </si>
  <si>
    <t>這個陳述是**錯的**（應填 **`X`**）。
### 1. 股權收購 vs. 資產收購
購得目標公司股權稱為**股權收購 (Stock Purchase)**，需承受目標公司一切負債；資產收購僅購買特定資產。原題定義錯誤。</t>
  </si>
  <si>
    <t>資本資產定價模型(CAPM)中,風險溢酬與所承受的&lt;span style="color: red; text-decoration: underline;"&gt;系統風險&lt;/span&gt;呈正比。</t>
  </si>
  <si>
    <t>這個陳述是**對的**（應填 **`O`**）。
### 1. SML 直線關係
風險貼水 $= \beta_i \times [E(R_m) - R_f]$，與系統性風險 $\beta_i$ 呈正比線性關係。本題敘述完全正確。</t>
  </si>
  <si>
    <t>風險相同的債券,必然會有&lt;span style="color: red; text-decoration: underline;"&gt;相同的要求報酬率&lt;/span&gt;。</t>
  </si>
  <si>
    <t>這個陳述是**對的**（應填 **`O`**）。
### 1. 債券評價基本原理
在無套利市場中，風險等級相同的債券，投資人會要求相同的到期殖利率/要求報酬率。本題敘述正確。</t>
  </si>
  <si>
    <t>只要有「代理成本」及「財務危機與破產成本」不存在的假設,公司價值最大化的資本結構&lt;span style="color: red; text-decoration: underline;"&gt;等於&lt;/span&gt;股東利益最大化的資本結構·</t>
  </si>
  <si>
    <t>這個陳述是**對的**（判斷題應填 **`O`**）。
這題考的是資本結構理論 (Capital Structure Theory) 中，關於公司整體價值最大化與股東財富最大化在決策目標上何時能夠「完全等價」的邊界條件。
以下為您進行詳細的財務學理解析與觀念拆解：
---
### 1. 完美市場下的等價性：$V = D + E$
在財務學理中，企業整體價值 ($V$) 由債權人價值 ($D$) 與股東股權價值 ($E$) 組成：
$$V = D + E$$
* **無摩擦市場的等價關係**：在無市場摩擦（無稅、無破產成本與無代理問題）的假設下，若債務價值 $D$ 視為固定承諾或受到充分保障，當企業透過投資決策或資本配置推升公司整體價值 ($V$) 時，增值部分將全數歸屬於股權端 ($E$)。
* **目標一致性**：在此理想環境下，**「極大化公司價值 (Maximize Firm Value)」** 與 **「極大化股東財富 (Maximize Shareholder Value)」** 具有完全等價的決策效果。
---
### 2. 真實世界的市場摩擦：代理成本與財務危機成本
當脫離完美市場假設並引入現實世界的摩擦因素時，兩者目標可能產生分歧：
* **代理成本 (Agency Costs)**：包括股東與管理階層之間、或股東與債權人之間的利益衝突（如過度投資、資產轉移等風險轉嫁行為）。
* **財務危機與破產成本 (Financial Distress &amp; Bankruptcy Costs)**：當負債比率過高時，面臨的直接法律清算費用及間接客戶流失、供應商條件緊縮等營運損失。
當上述摩擦成本存在時，會瓜分企業營運所創造的實質價值。即便公司整體資產規模或總價值名義上有所增長，但若伴隨而來的代理問題或財務危機成本大幅攀升，股東最終分配到的實質權益價值 ($E$) 反而可能受損。
---
### 結論
在**「不考慮代理成本與財務危機 / 破產成本」**的前提假設下，使公司價值最大化的資本結構，在學理上完全等同於使股東權益價值最大化的資本結構，故原陳述完全正確。</t>
  </si>
  <si>
    <t>2024/9/7</t>
  </si>
  <si>
    <t>這個陳述是**錯的**（應填 **`X`**）。
### 1. 股權之買入選擇權（Call Option）特性
依據默頓（Merton, 1974）選擇權結構模型：
* **基礎資產（Underlying Asset, $S_T$）**：公司的總資產價值 $V_T$。
* **執行價格（Strike Price, $K$ 或 $D$）**：公司負債的面額（到期還本付息總額）。
* **股東到期報償（Payoff）**：
$$\text{Payoff}_{\text{Equity}} = \max(V_T - D, 0)$$
### 2. 為什麼資產變動性越大，股權「價值」越大？
* 股份有限公司股東享有**有限責任（Limited Liability）**，最差狀況損失僅為出資額（報償為 0），具有「**下檔風險有限、上檔獲利無限**」的凸性（Convexity）損益結構。
* 當資產波動度 $\sigma$ 越大，資產價值衝到極高值的潛力增加，因此推升了選擇權的**理論現值（價值）**。
### 3. 為什麼「價值越大」不等於「越容易獲利」？
* **破產與歸零風險大幅上升**：波動度增加代表極端風險上升，資產價值跌破負債面額（$V_T &lt; D$ 導致破產、股權一文不值）的機率也大幅拉高。
* **獲利難度並未降低**：高波動度伴隨高不確定性與高失敗風險，股東實質獲利的勝率並未提高，反而面臨更大的本金全損風險。因此「越容易獲利」在財務邏輯上是錯誤的推論。</t>
  </si>
  <si>
    <t>X, ROA (或 RA)</t>
  </si>
  <si>
    <t>這個陳述是**錯的**（應填 **`X`**）。
### 1. 資產觀點 vs. 股權觀點之現金流量配比
* **資產觀點（$CF_0 = -100$ 億）**：
* 期初投入為全體投資人（債權人與股東）共同出資之總額。
* 對應的未來現金流量必須是**未扣除利息支出**的**專案營運現金流量（Operating Cash Flow, OCF 或 Free Cash Flow to Firm, FCFF）**。
* **股權觀點（$CF_0 = -60$ 億）**：
* 期初投入僅為股東出資額。
* 對應的未來現金流量才是**扣除債務還本付息後**的**權益現金流量（Free Cash Flow to Equity, FCFE）**。
### 2. 結論
當 $CF_0 = -100$ 億時，為標準的資產觀點，未來各期現金流量應為**營運現金流量（或資產自由現金流量）**，而非權益現金流量。若混用將會造成現金流與期初成本不匹配之嚴重估值錯誤。</t>
  </si>
  <si>
    <t>這個陳述是**對的**（應填 **`O`**）。
### 1. 股權觀點之現金流與期初投入對稱性
* 當未來各期現金流量「**扣除債務利息與還本支出**」時，代表我們採取的是**股權觀點（Equity Perspective）**，評估的是分配給股東之剩餘自由現金流（FCFE）。
* 依據對稱原則，期初投入 $CF_0$ 只能計算股東實際掏出的權益資金，即：
$$CF_0 = -(\text{總投資額} - \text{舉債金額}) = -(100 - 40) = -60\text{ 億}$$
* 同時，折現率應採用股東要求報酬率 $R_E$。題幹陳述完全符合股權觀點之對稱原則。</t>
  </si>
  <si>
    <t>X, 仍有合理報酬(無超額報酬)</t>
  </si>
  <si>
    <t>X, 可以.</t>
  </si>
  <si>
    <t>X, 零(Zero)</t>
  </si>
  <si>
    <t>這個陳述是**對的**（應填 **`O`**）。
### 1. 隨機漫步假說（Random Walk Hypothesis）之邏輯
* 在效率資本市場中，所有「已知資訊」已經立即且完全反映在當前股價上。
* 未來能引發股價變動的，只有**「尚未發生的新資訊（New Information）」**。
* 依定義，「新聞」本質上無法被提前預測，其出現與內容是**隨機且獨立（Random and Independent）**的。
* 既然推動股價變動的資訊是隨機產生的，則股價的未來波動軌跡亦必然呈現隨機漫步。</t>
  </si>
  <si>
    <t>X, 股票&gt;債券&gt;內部權益資金 (或 外部股票&gt;內部保留盈餘&gt;債券)</t>
  </si>
  <si>
    <t>X, Project B. NPVB&gt;NPVA</t>
  </si>
  <si>
    <t>X, 增加.資產周轉率= 總營業收入/總資產，存貨↓周轉率↑</t>
  </si>
  <si>
    <t>X, 升高. R 在固定成長股利折現模型分母，R↓P↑</t>
  </si>
  <si>
    <r>
      <rPr>
        <rFont val="Microsoft JhengHei"/>
        <color theme="1"/>
        <sz val="12.0"/>
      </rPr>
      <t xml:space="preserve">這個敘述是**對的**（判斷題應填 **`O`**）。
這題考的是財務管理中極為經典的**「有公司稅（Corporate Taxes）下的 MM 命題一（MM Proposition I with Taxes）」**之極端推論。
以下為您進行最嚴密的學理剖析與課堂邏輯對照：
---
### 1. 理論公式的數學必然性：\\(V_L = V_U + T_c \times D\\)
在納入公司所得稅（稅率為 \\(T_c\\)）後，根據 MM 有稅命題一，有負債公司的價值（\\(V_L\\)）與無負債公司的價值（\\(V_U\\)）關係如下：
\\[V_L = V_U + \mathbf{T_c \times D}\\]
*   **利息稅盾（Interest Tax Shield）的線性增值**：
    因為公司舉債所支付的利息可以列為費用以扣抵稅額，公司每多舉一單位的債務（\\(D\\)），就能為公司創造 \\(T_c \times D\\) 的稅盾價值。
*   **不考慮財務危機成本的前提**：
    如果在前提中**「完全排除財務危機成本（如破產成本、違約風險或債務代理成本）」**，意味著公司不論舉債再多，都不會面臨破產倒閉的恐懼，債權人也不會因為風險拉高而要求更高的利率。
*   **結論**：
    既然舉債只有「省稅（增值）」的好處，而沒有任何「破產（減值）」的風險，那麼在數學上，**公司為了極大化其價值（\\(V_L\\)），最理性的決策就是將負債金額（\\(D\\)）拉到最高極限，也就是採用 100% 舉債的資本結構**。此時，公司的加權平均資金成本（WACC）也會被拉低至極限。
---
### </t>
    </r>
    <r>
      <rPr>
        <rFont val="Segoe UI Symbol"/>
        <color theme="1"/>
        <sz val="12.0"/>
      </rPr>
      <t>👨‍🏫</t>
    </r>
    <r>
      <rPr>
        <rFont val="微軟正黑體"/>
        <color theme="1"/>
        <sz val="12.0"/>
      </rPr>
      <t xml:space="preserve"> 課堂授課邏輯對照
這完全契合您 L7 課堂中，教授對於 MM 有稅理論極端假設的評論：
&gt; 「走到目前為止，這個 MM 理論告訴我即便有稅也不是那麼的貼近真實狀況。因為它還有很多其他因為舉債而衍生出來的成本或者效應完全沒有考慮進去。所以你今天說好我無限的去舉債下去，你都告訴我說公司價值會一直提高，但是那這個理論是不是沒有還考慮一些重要的其他的……會衍生出一些代理人之間的成本或者衝突。會讓這個公司價值往下掉。或者是因為你舉債舉過頭了怎麼樣？你可能就會產生財務危機或者或者是 default（違約）的機率就高。所以它不會無限制地舉債。」
教授的這段話直接點出：
1.  **在 MM 有稅的理論框架下（不考慮財務危機）**，公司的確會無限制地去舉債（即達到 100% 舉債的最佳資本結構）。
2.  **在實務世界中**，因為存在財務危機與違約風險，公司才不會真的舉債 100%，這也是後續必須引入**「抵換理論（Trade-off Theory）」**來平衡稅盾與破產成本的原因。
### 結論
在題目設定的**「不考慮財務危機成本，僅考慮稅的因素」**之理論邊界下，依照 MM 有稅理論，公司的最佳資本結構確實為**舉債 100%**。</t>
    </r>
  </si>
  <si>
    <t>根據股利顧客效果理論，當股東喜歡當期收入，則公司應採 &lt;span style="color: red; text-decoration: underline;"&gt;高股利政策&lt;/span&gt; ，反之則應採 &lt;span style="color: red; text-decoration: underline;"&gt;低股利政策&lt;/span&gt; 。</t>
  </si>
  <si>
    <t>這個陳述是**對的**（應填 **`O`**）。
### 1. 股利顧客效果理論（Clientele Effect）
* 該理論認為，市場上的投資人具有不同的租稅級距與流動性偏好：
* **偏好當期所得（如退休族群、免稅機構法人）**：需要穩定現金流支應生活開銷，偏好投資發放**高股利政策**的企業。
* **高邊際所得稅率者（富裕階層）**：為避免繳納高額股利所得稅，偏好資本利得與遞延課稅，因此青睞**低股利（或不發股利、股票買回）**的成長型企業。
* 企業會根據其主要股東顧客群的偏好制定相對應的股利政策。題幹敘述完全正確。</t>
  </si>
  <si>
    <t>10_股利政策_個人所得稅,發行成本與股利</t>
  </si>
  <si>
    <t>X, 更差. 舉債有償還利息壓力</t>
  </si>
  <si>
    <r>
      <rPr>
        <rFont val="Microsoft JhengHei"/>
        <color theme="1"/>
        <sz val="12.0"/>
      </rPr>
      <t xml:space="preserve">這個陳述是**對的**（判斷題應填 **`O`**）。
這題考的是財務管理中極為經典的 **MM 股利無關論 (Dividend Irrelevance Theory)**，由 Miller 與 Modigliani (1961) 提出。
以下為您詳細拆解該理論的核心邏輯與運行機制：
---
### 1. 理論核心：公司的價值取決於「投資」，而非「分配」
在 MM 完美資本市場（無稅收、無交易成本、資訊完全對稱、借貸利率相同）的假設下：
* **公司的價值**：完全由公司的**資產獲利能力與投資決策**（即企業整體創造現金流的能力）決定。
* **股利政策**：僅決定如何將盈餘在「保留盈餘」與「現金股利」之間切分，屬於單純的分配決策，並不會改變企業本身的實質總價值。
---
### 2. 關鍵機制：自製股利 (Homemade Dividends)
在完美市場中，股利政策之所以不影響股東總財富，關鍵在於**投資人可零成本地在資本市場進行「自製股利」操作**，自行調配符合自身偏好的現金流型態：
* **情境一：當公司「不發股利（或發放不足）」，但股東需要現金時**
  * **操作方式**：股東可自行在二級市場**出售部分股票**變現。
  * **實質效果**：在無交易成本與無稅負的環境下，「變賣持股換現」與「直接領取現金股利」對股東財富的效果完全等價。
* **情境二：當公司「發放高額股利」，但股東偏好繼續投資時**
  * **操作方式**：股東可將收到的現金股利**在二級市場買回該公司股票**（增加持股）。
  * **實質效果**：此操作與公司不發股利、直接將盈餘留存於內部進行再投資的效果完全相同。
既然股東可自行零成本複製出任意型態的現金流，公司管理階層的股利決策便無法提供額外價值，故**股利政策完全不影響公司總價值與股東財富**。
---
### </t>
    </r>
    <r>
      <rPr>
        <rFont val="Segoe UI Symbol"/>
        <color theme="1"/>
        <sz val="12.0"/>
      </rPr>
      <t>💡</t>
    </r>
    <r>
      <rPr>
        <rFont val="微軟正黑體"/>
        <color theme="1"/>
        <sz val="12.0"/>
      </rPr>
      <t xml:space="preserve"> 財務觀念整合：再投資報酬率與機會成本 ($R_e$)
股東對股利發放的偏好，本質上取決於**「公司內部再投資報酬率」**與**「股東權益機會成本 ($R_e$)」**的比較：
* 若內部計畫報酬率高於股東要求報酬率 ($R_e$)，保留盈餘進行再投資能創造更大價值。
* 若內部計畫報酬率低於股東要求報酬率 ($R_e$)，將資金以股利形式返還給股東自行投資更為有利。
在 MM 完美資本市場假設下，市場處於完全競爭與充分定價狀態，使「自製股利」的替代機制得以完全實現，進而推導出股利無關的結論。</t>
    </r>
  </si>
  <si>
    <t>資本資產訂價模型(CAPM)中，風險溢酬與所承受的系統風險呈正比。</t>
  </si>
  <si>
    <t>這個陳述是**對的**（應填 **`O`**）。
### 1. CAPM 均衡定價公式
$$E(R_i) - R_f = \beta_i [E(R_m) - R_f]$$
* 等式左側：個別資產之**預期風險溢酬（Risk Premium）**。
* 等式右側：資產所承擔之**系統性風險（$\beta_i$）**乘上市場風險溢酬。
### 2. 正比關係
在市場均衡下，市場風險溢酬 $[E(R_m) - R_f] &gt; 0$ 為常數斜率，資產之風險溢酬完全與其系統性風險（$\beta$）成正比例關係。非系統性風險可被完全分散，市場不予任何風險溢酬補償。題幹完全正確。</t>
  </si>
  <si>
    <t>X, 系統風險(貝他風險/市場風險)</t>
  </si>
  <si>
    <t>X, 損益表, 現金流量表為流量</t>
  </si>
  <si>
    <t>2_基本財務報表與分析_財務報表架構</t>
  </si>
  <si>
    <t>「融資順位理論」的核心基礎為資訊不對稱形成的交易成本落差。</t>
  </si>
  <si>
    <t>這個陳述是**對的**（應填 **`O`**）。
### 1. 融資順位理論（Pecking Order Theory）之根基
Myers &amp; Majluf（1984）提出之融資順位理論，其核心立論基礎正是**資訊不對稱（Information Asymmetry）**與逆向選擇（Lemons Problem）。
### 2. 交易成本與融資順位
* 當外部投資人掌握資訊少於內部經理人時，發行新股會被市場解讀為「股價被高估」之負面訊號，導致嚴重的股價折價與高昂發行成本。
* 因此企業偏好排序為：
1. **內部保留盈餘**（無資訊不對稱與交易成本）
2. **債務融資**（資訊敏感度低、成本居中）
3. **外部新股**（資訊不對稱最嚴重、成本最高）
題幹敘述完全正確。</t>
  </si>
  <si>
    <t>4_資本支出預算決策_獲利指數法</t>
  </si>
  <si>
    <t>X, MM 理論有</t>
  </si>
  <si>
    <t>這個陳述是**錯的**（應填 **`X`**）。
### 1. 融資順位理論 (Pecking Order)
* 融資順位理論主張融資決策純粹反映累積的內部資金與外部資金需求缺口，**確實沒有目標或最適資本結構（No Target Capital Structure）**的概念。
### 2. MM 資本結構理論
* **MM 無稅模型（1958）**：資本結構無關（任何槓桿下價值相同，處處皆為最適）。
* **MM 有稅模型（1963）**：考慮利息稅盾下，公司價值隨負債增加而單調上升，**具有明確的最適資本結構（舉債 100%）**。
* 故「MM 理論無最適資本結構」之說法不正確，題幹斷言「皆無」為錯誤。</t>
  </si>
  <si>
    <t>X, 證券市場線</t>
  </si>
  <si>
    <t>當市場均衡時，依據資本資產訂價模型(CAPM)，所有投資組合都必須位於&lt;span style="color: red; text-decoration: underline;"&gt;特徵線&lt;/span&gt; 上。</t>
  </si>
  <si>
    <t>這個陳述是**錯的**（應填 **`X`**）。
### 1. 核心財務圖形線型辨析
* **證券市場線（Security Market Line, SML）**：
* 在 CAPM 市場均衡下，所有個別資產以及所有投資組合（不論是否完全分散），其預期報酬率皆**必須唯一落於證券市場線（SML）之上**。
* **特徵線（Characteristic Line, SCL）**：
* 係單一證券超額報酬對市場超額報酬進行時間序列迴歸所得到之迴歸直線，其斜率即為該證券之 $\beta$ 值。
* 特徵線是針對「單一特定證券」之歷史敏感度迴歸線，並非所有投資組合在市場均衡下的定價線。故應修正為證券市場線。</t>
  </si>
  <si>
    <t>X, 股票股利僅增加在外流通股數，不影響現金</t>
  </si>
  <si>
    <t>X, 投資活動 (或 資本預算投資支出)</t>
  </si>
  <si>
    <t>這個陳述是**錯的**（應填 **`X`**）。
### 1. 股票買回（Share Repurchase）
公司利用現金向市場或股東買回流通在外的自家股票，將多餘現金返還給股東，稱為**股票買回（或稱股票購回、庫藏股買回）**。
### 2. 股票買回 vs. 股票股利
* **股票買回**：實質動用現金支付給股東，流通在外總股數減少。
* **股票股利**：不涉及任何現金交易，純粹無償增發新股，流通在外總股數增加。
題幹描述顯然為「股票購回」，而非股票股利。</t>
  </si>
  <si>
    <t>X, β↓,斜率↓. Slope A &lt;Slope B</t>
  </si>
  <si>
    <t>X, D↓,D/E↓ (或 下降)</t>
  </si>
  <si>
    <t>若調降公司營利事業所得稅，此舉將使得公司傾向少舉債，造成公司的最適資本結構 &lt;span style="color: red; text-decoration: underline;"&gt;上升&lt;/span&gt;。</t>
  </si>
  <si>
    <t>這個陳述是**錯的**（應填 **`X`**）。
### 1. 靜態權衡理論（Trade-off Theory）分析
最適資本結構取決於**邊際稅盾效益（Marginal Benefit）**與**邊際財務危機成本（Marginal Cost）**之平衡點。
### 2. 降稅對最適負債比的影響
* 當政府調降營利事業所得稅率 $T_c$ 時：
* 每單位負債所能享受之利息稅盾價值（$T_c \times D$）縮水。
* 舉債的相對節稅誘因減弱，而財務危機破產成本並未減少。
* 因此公司會傾向減少舉債融資（$D \downarrow$），導致最適負債比例（$D/V$ 或 $D/E$）**下降（降低）**，而非上升。</t>
  </si>
  <si>
    <t>X, 舉債→Rwacc ; 未舉債→RE</t>
  </si>
  <si>
    <t>X, (R-g)在分母，(R-g)↑,P↓ (或 愈小)</t>
  </si>
  <si>
    <t>期末考1-11章彙整</t>
  </si>
  <si>
    <t>X, 營運槓桿</t>
  </si>
  <si>
    <t>固定資產比重越高的企業，其&lt;span style="color: red; text-decoration: underline;"&gt;財務槓桿&lt;/span&gt;越高。</t>
  </si>
  <si>
    <t>這個陳述是**錯的**（應填 **`X`**）。
### 1. 營運槓桿 vs. 財務槓桿之核心定義
* **營運槓桿（Operating Leverage, DOL）**：
* **成因**：來自企業營運過程中所承擔的**固定營運成本與固定資產（廠房設備等）比重**。
* **特性**：固定資產比重越高的企業，固定折舊與固定營運費用佔比越大，其**營運槓桿越高**，營收微幅波動會對息稅前利潤 ($EBIT$) 造成劇烈放大效應。
* **財務槓桿（Financial Leverage, DFL）**：
* **成因**：來自企業資本結構中的**負債比例與固定利息費用**。
* **特性**：負債比率越高者，財務槓桿才越大，$EBIT$ 波動對每股盈餘 ($EPS$) 的放大倍數越高。
### 2. 結論
固定資產比重反映的是**營運槓桿**而非財務槓桿。原題混淆了兩大槓桿的定義，故為錯誤。</t>
  </si>
  <si>
    <t>對股份有限公司股東而言，相當於擁有一個買入選擇權 (Call Option)，其執行價格 (Strike Price) 為&lt;span style="color: red; text-decoration: underline;"&gt;公司總資產&lt;/span&gt;。</t>
  </si>
  <si>
    <t>這個陳述是**錯的**（應填 **`X`**）。
### 1. Merton 選擇權結構模型之定義
在公司理財中（默頓 Merton 結構模型），股份有限公司的股權價值可以完美類比為一個以公司總資產為標的的**買入選擇權（Call Option）**：
* **基礎資產（Underlying Asset, $S_T$）**：公司的**總資產價值 $V_T$**。
* **執行價格（Strike Price, $X$ 或 $D$）**：公司的**總負債面額 $D$**。
* **到期日（Maturity, $T$）**：債務到期清償日。
### 2. 股東報償與決策
* **到期報償公式**：$$\text{Payoff}_{\text{Equity}} = \max(V_T - D, 0)$$
* 當資產價值大於負債（$V_T &gt; D$）時，股東選擇履約（還清負債 $D$，拿走剩餘資產價值 $V_T - D$）。
* 當資產價值小於等於負債（$V_T \le D$）時，股東選擇放棄履約並宣告破產，損失僅限於出資額（有限責任）。
### 3. 結論
執行價格應為「**公司總負債**」而非「公司總資產」。原題將標的資產與執行價格混淆，故為錯誤。</t>
  </si>
  <si>
    <t>X, 固定資產</t>
  </si>
  <si>
    <t>在公司理財中，「資本預算決策」與「融資決策」分別指公司應投資何種&lt;span style="color: red; text-decoration: underline;"&gt;流動資產&lt;/span&gt;及滿足該投資下之籌資需求。</t>
  </si>
  <si>
    <t>這個陳述是**錯的**（應填 **`X`**）。
### 1. 公司理財三大核心決策
* **資本預算決策（Capital Budgeting / 投資決策）**：
* 對應資產負債表左側之**長期資產**。
* 指公司應該投資何種**固定資產（長期資本支出，如廠房、設備、研發）**，以創造大於零的淨現值 ($NPV &gt; 0$)。
* **融資決策（Financing Decisions / 資本結構決策）**：
* 對應資產負債表右側之**長期資金來源**。
* 指公司應如何籌集資金（發債或增資發股）來滿足長期投資需求，並決定最適資本結構。
* **營運資金管理（Working Capital Management / 短期決策）**：
* 對應資產負債表之**流動資產與流動負債**。
* 負責日常營運的流動性與現金循環管理。
### 2. 結論
資本預算決策是指投資於「**固定資產（長期資產）**」，流動資產屬於營運資金管理範疇。原題敘述錯誤。</t>
  </si>
  <si>
    <t>代理問題&lt;span style="color: red; text-decoration: underline;"&gt;不會發生&lt;/span&gt;於大股東與小股東之間。</t>
  </si>
  <si>
    <t>這個陳述是**錯的**（應填 **`X`**）。
### 1. 現代企業常見之三大代理問題
1. **股東 vs. 經理人（ME 代理問題）**：經理人追求個人利益（如帝國建造、在職消費）而損害全體股東財富。
2. **股東 vs. 債權人（BE 代理問題）**：股東傾向採取高風險投資策略或發放高額股利以剝削債權人。
3. **大股東（控制股東）vs. 小股東（外部少數股東，大一小一代理問題）**：
* **常見型態**：大股東透過金字塔結構、交叉持股或兼任高階管理層取得絕對控制權，利用**自利交易（Related-Party Transactions）**、利益輸送、利益侵佔（Tunneling）等手段掏空公司資產，剝削外部小股東的剩餘利益。
### 2. 結論
代理問題**確實會發生**於大股東與小股東之間，原題稱「不會發生」在學理與實務上均屬錯誤。</t>
  </si>
  <si>
    <t>大德公司之平均存貨天數為 50 天，平均應收帳款天數為 20 天，平均應付帳款天數為 15 天，則營業循環長度為 &lt;span style="color: red; text-decoration: underline;"&gt;55 天&lt;/span&gt;。</t>
  </si>
  <si>
    <t>這個陳述是**錯的**（應填 **`X`**）。
### 1. 營業循環 vs. 現金循環公式解析
* **營業循環（Operating Cycle）**：
$$\text{營業循環長度} = \text{平均存貨天數} + \text{平均應收帳款天數}$$
$$\text{營業循環長度} = 50 + 20 = 70\text{ 天}$$
* **現金循環（Cash Conversion Cycle, CCC）**：
$$\text{現金循環長度} = \text{營業循環長度} - \text{平均應付帳款天數}$$
$$\text{現金循環長度} = 70 - 15 = 55\text{ 天}$$
### 2. 結論
題目詢問的是「**營業循環長度**」，正確答案應為 **$70$ 天**。題目誤將現金循環的計算結果（55 天）當作營業循環，故為錯誤。</t>
  </si>
  <si>
    <t>2_基本財務報表與分析_比率分析-營運能力之比率分析</t>
  </si>
  <si>
    <t>現金循環長度越短越好，且可能會有負值（小於 0）的情形發生。</t>
  </si>
  <si>
    <t>這個陳述是**對的**（應填 **`O`**）。
### 1. 現金循環 (CCC) 的財務意涵
$$\text{現金循環 (CCC)} = \text{平均存貨天數} + \text{平均應收帳款天數} - \text{平均應付帳款天數}$$
* **越短越好**：現金循環越短，代表企業將採購投入轉化為現金收回的速度越快，被綁在營運過程中的週轉資金越少，資本運用效率與流動性越佳。
* **負現金循環（Negative CCC）**：
* 當企業具備極強的市場議價能力與供應鏈主導權（如 7-Eleven、Dell、Amazon、MOMO 等），其存貨周轉極快、向顧客收取現金或信用卡入帳迅速，而對上游供應商的付款天數（應付帳款天數）極長時，可能出現：
$$\text{平均應付帳款天數} &gt; \text{平均存貨天數} + \text{平均應收帳款天數} \implies CCC &lt; 0$$
* 此時企業等於在利用供應商的無息商業信用資金進行營運擴張，財務流動性極佳。本題敘述完全正確。</t>
  </si>
  <si>
    <t>X, 正在惡化中</t>
  </si>
  <si>
    <t>公司應收帳款大幅上升且營收沒有相應增加，可能表示公司對客戶的議價能力&lt;span style="color: red; text-decoration: underline;"&gt;正在改善中&lt;/span&gt;。</t>
  </si>
  <si>
    <t>這個陳述是**錯的**（應填 **`X`**）。
### 1. 應收帳款異動之財報診斷
* **正常情況**：應收帳款的成長率應與營業收入成長率保持合理配比。
* **異常警訊**：若**營收未增加，應收帳款卻大幅上升**（平均收帳天數 DSO 急遽拉長），代表：
1. **議價與催收能力惡化**：公司在銷售終端話語權低落，被迫放寬授信條件或客戶發生拖欠、呆帳風險。
2. **盈餘品質低落 / 渠道塞貨 (Channel Stuffing)**：公司可能為了美化帳面而提前認列未實現銷售或進行假交易。
### 2. 結論
應收帳款無端暴增反映議價與催款能力「**正在惡化中**」，而非改善中。原題敘述相反，故為錯誤。</t>
  </si>
  <si>
    <t>其他條件相同下，長期債券的價格風險較短期債券為高。</t>
  </si>
  <si>
    <t>這個陳述是**對的**（應填 **`O`**）。
### 1. 債券價格風險（利率風險）與存續期間
* **價格風險（Price Risk）**：市場利率變動造成債券價格波動的風險。
* **存續期間（Duration）法則**：
* 在票面利率相同的前提下，債券到期期限（Maturity）越長，其存續期間（有效還本期）越長。
* 依據債券定價公式：$$P = \sum_{t=1}^n \frac{C}{(1+y)^t} + \frac{F}{(1+y)^n}$$
* 現金流量越偏向未來的長期債券，分母折現率 $(1+y)$ 波動對現值的累計乘冪影響越劇烈。
* **口訣記憶**：**後拿到錢的價格風險大，先拿到錢的再投資風險大**。長期債券現金流多在遠期，價格風險必然較高。本題敘述完全正確。</t>
  </si>
  <si>
    <t>到期殖利率代表市場上債券的要求報酬率。</t>
  </si>
  <si>
    <t>這個陳述是**對的**（應填 **`O`**）。
### 1. 到期殖利率 (Yield to Maturity, YTM) 之角色定位
* **投資人視角**：到期殖利率是投資人購買債券並持有至到期日所要求的**必要報酬率（Required Rate of Return）或期望報酬率**。
* **發行公司視角**：到期殖利率代表公司發行債券籌集資金所面臨的**債務資金成本（Cost of Debt, $R_D$）**。
* **定價核心**：YTM 是使債券未來所有預期現金流量（票息與面額）折現後剛好等於當前市場價格的內部報酬率 ($IRR$)。本題敘述完全正確。</t>
  </si>
  <si>
    <t>在發行時，當市場利率低於債券的票面利率時，債券將&lt;span style="color: red; text-decoration: underline;"&gt;折價發行&lt;/span&gt;。</t>
  </si>
  <si>
    <t>這個陳述是**錯的**（應填 **`X`**）。
### 1. 票面利率 vs. 市場利率（殖利率）的三種發行狀態
* **票面利率 &gt; 市場利率（殖利率）**：
* 債券承諾支付的票息高於市場普遍要求水準，具備吸引力，投資人願意以高於面額之價格購買 $\implies$ **溢價發行（Premium, $P &gt; F$）**。
* **票面利率 = 市場利率（殖利率）**：
* 債券票息與市場要求相同 $\implies$ **平價發行（Par, $P = F$）**。
* **票面利率 &lt; 市場利率（殖利率）**：
* 債券票息低於市場要求水準，必須折價出售以補償投資人 $\implies$ **折價發行（Discount, $P &lt; F$）**。
### 2. 結論
當市場利率低於票面利率時，應為「**溢價發行**」。原題誤寫為折價發行，故為錯誤。</t>
  </si>
  <si>
    <t>X, 愈低</t>
  </si>
  <si>
    <t>風險主要源自於對未來現金流量的不確定性所造成的影響。若未來現金流量不確定性（風險）愈高，則其現在價值&lt;span style="color: red; text-decoration: underline;"&gt;愈高&lt;/span&gt;。</t>
  </si>
  <si>
    <t>這個陳述是**錯的**（應填 **`X`**）。
### 1. 風險、要求報酬率（折現率）與現值之關係
* **風險即不確定性**：未來現金流量的不確定性愈高，投資人所承擔的風險愈大。
* **風險貼水與折現率**：依據風險與報酬對稱性，高風險要求高報酬，因此評估高風險資產時必須使用**愈高的折現率 $R$**。
* **現值公式推導**：
$$PV = \sum_{t=1}^n \frac{CF_t}{(1 + R)^t}$$
當風險愈高 $\implies$ 折現率 $R$ 愈高 $\implies$ 分母愈大 $\implies$ 計算出的**現在價值（現值 $PV$）愈低**。
### 2. 結論
未來現金流不確定性愈高，現在價值應**愈低**。原題敘述相反，故為錯誤。</t>
  </si>
  <si>
    <t>X, 為低</t>
  </si>
  <si>
    <t>其他條件相等，對可轉換公司債而言（投資人有將債券轉換成股票的權利），其殖利率應較其他同類&lt;span style="color: red; text-decoration: underline;"&gt;為高&lt;/span&gt;。</t>
  </si>
  <si>
    <t>這個陳述是**錯的**（應填 **`X`**）。
### 1. 特殊條款債券之要求報酬率（殖利率）比較
* **可轉換公司債（Convertible Bonds）**：
* 轉換權（選擇權）掌握在**投資人**手中。若公司股價上漲，投資人可轉換為股票享受資本利得；若股價下跌則享有債券保底本息。
* 因為投資人獲得了有利的轉換權利，承擔的風險較低，故願意接受較低的票面利率與**較低的到期殖利率**（發行成本較低）。
* **對比 — 可贖回公司債（Callable Bonds）**：
* 提前贖回權在**發行公司**手中，對投資人不利（承擔再投資風險），故投資人要求**較高的殖利率**作為補償。
### 2. 結論
可轉換公司債之殖利率應較同類普通債券「**為低**」。原題誤寫為高，故為錯誤。</t>
  </si>
  <si>
    <t>以內部報酬率法 (IRR) 評估互斥的計畫案時，在規模差距太大或現金流量的時機不同時，均可能造成錯誤的決策。</t>
  </si>
  <si>
    <t>這個陳述是**對的**（應填 **`O`**）。
### 1. 互斥案下 IRR 法的兩大經典盲點
在評估互斥專案（二選一）時，盲目依賴內部報酬率（$IRR$）大小可能導致錯誤決策，原因在於：
1. **規模問題（Scale Problem）**：
* $IRR$ 是相對報酬率指標，忽視了投資金額的絕對規模。例如：投資 100 元賺 50% ($IRR=50\%$) 僅獲利 50 元；投資 1,000 萬元賺 20% ($IRR=20\%$) 獲利 200 萬元。後者淨現值 ($NPV$) 遠高於前者。
2. **時機問題（Timing Problem / 現金流量時間點不同）**：
* 專案現金流量回收較早者其 $IRR$ 容易偏高，但回收較晚但規模龐大的專案在低折現率下具備更高的 $NPV$。
* **唯一最高決策準則**：互斥案決策應一律以**淨現值法 ($NPV$) 極大化**為準。本題敘述完全正確。</t>
  </si>
  <si>
    <t>X, 兩種觀點：整體計畫觀點及權益投資人觀點</t>
  </si>
  <si>
    <t>公司在進行投資計畫評估時，&lt;span style="color: red; text-decoration: underline;"&gt;僅以權益投資人的觀點&lt;/span&gt;來衡量。</t>
  </si>
  <si>
    <t>這個陳述是**錯的**（應填 **`X`**）。
### 1. 資本預算兩大評估觀點對稱表
| 評估觀點 | 關注主體 | 期初投入 ($CF_0$) | 未來現金流量 ($CF_t$) | 對應之折現率 |
| :--- | :--- | :--- | :--- | :--- |
| **整體計畫/資產觀點** | 全體出資者（債權人+股東） | **總投資金額**（如 -100 億） | **營運現金流 $OCF$**（未扣利息） | **資產報酬率 $R_A$ 或 $WACC$** |
| **權益投資人/股權觀點** | 股東 | **股東自有資金**（如 -60 億） | **權益現金流 $FCFE$**（扣除還本付息） | **權益資金成本 $R_E$** |
### 2. 結論
投資評估存在「**整體計畫觀點**」與「**權益投資人觀點**」兩種標準視角，且實務上以資產觀點衡量專案本業創價能力最為普遍。原題稱「僅以權益觀點」係屬錯誤。</t>
  </si>
  <si>
    <t>計算股權的修正內部報酬率（MIRR）時，應採用權益要求報酬率作為再投資報酬率。</t>
  </si>
  <si>
    <t>這個陳述是**對的**（應填 **`O`**）。
### 1. 修正內部報酬率 (MIRR) 之角色匹配原則
* **傳統 IRR 之缺點**：假設中間現金流入均能以專案自身的 $IRR$ 進行再投資，過於樂觀且可能產生多重解或無解。
* **MIRR 的改進**：明確將未來現金流入依合理的外生資本成本折算至終值（Terminal Value）。
* **觀點一致性匹配**：
* 當評估**股權觀點（Equity MIRR）**時，現金流量為股權自由現金流，其機會成本與再投資折現率應一致採用**權益要求報酬率（權益資金成本 $R_E$）**。
* 若評估整體資產觀點，再投資率則採用加權平均資金成本 $WACC$。本題敘述完全正確。</t>
  </si>
  <si>
    <t>股權收購不需股東會議與投票表決。但可能會碰到少數相當堅持的股東，使得目標公司的股權無法有效被收購。</t>
  </si>
  <si>
    <t>這個陳述是**對的**（應填 **`O`**）。
### 1. 股權收購（Stock Acquisition / Tender Offer）之法律特點
* **直接向股東收購**：收購方可直接透過公開市場收購（Tender Offer）向目標公司個別股東洽購股權，不需經過目標公司董事會批准或召開股東會進行特別決議投票。
* **少數股東杯葛風險（Holdout Problem）**：若部分少數股東堅持不願出售持股，收購方可能無法取得 100% 完全控制權，進而遺留少數股權整合與私有化困難之問題。本題敘述完全正確。</t>
  </si>
  <si>
    <t>X, 資產分割</t>
  </si>
  <si>
    <t>這個陳述是**錯的**（應填 **`X`**）。
### 1. 企業重整與撤資型態對比
* **資產分割 / 股票派生（Spin-off）**：
* 母公司設立新子公司，並將新子公司的股份**按比例無償分配給母公司現有股東**。
* 結果：不產生現金流入，母公司與子公司的股東結構完全重疊。
* **權益分割（Equity Carve-out）**：
* 母公司將子公司的股權透過 IPO 向**公開市場外部新投資人**出售募集現金。
* 結果：為母公司創造現金流入，且稀釋母公司對子公司的控制權。
### 2. 結論
母公司股東直接取得新子公司股權之行為屬於「**資產分割（Spin-off）**」。原題誤寫為權益分割，故為錯誤。</t>
  </si>
  <si>
    <t>當公司不想被其它家公司所購併時，可採取目標購回 (Targeted repurchase) 的方式。這種方式會與出價者建立契約來限制購買該公司股票，並且以相當高的溢價向其購回股票，是則對現有股東&lt;span style="color: red; text-decoration: underline;"&gt;有利&lt;/span&gt;。</t>
  </si>
  <si>
    <t>這個陳述是**錯的**（應填 **`X`**）。
### 1. 目標購回與綠色郵件（Greenmail）之本質
* **防禦機制**：目標公司管理層為了保住自身經營權，動用公司寶貴的現金資產，以顯著高於市場行情的**高溢價**向潛在惡意併購者買回其持有的股份，並簽訂停頓協議（Standstill Agreement）。
* **對現有股東之損害**：
* 消耗了公司大筆現金，實質上是用全體股東的錢去「賄賂」狙擊手。
* 阻絕了優良外部併購提升公司效率的機會，保護了無能的管理層，因此對公司現有廣大股東**極為不利（摧毀股東價值）**。
### 2. 結論
目標購回溢價買回股票對現有股東「**不利**」。原題稱對現有股東有利，故為錯誤。</t>
  </si>
  <si>
    <t>X, 吸收合併</t>
  </si>
  <si>
    <t>&lt;span style="color: red; text-decoration: underline;"&gt;新創合併&lt;/span&gt;案中，主併公司為存續公司而被合併公司則為消滅公司。</t>
  </si>
  <si>
    <t>這個陳述是**錯的**（應填 **`X`**）。
### 1. 法定合併之兩大型態
* **吸收合併（Merger / Absorption）**：
* 兩家或多家公司合併，其中一家公司保留法人資格存續（主併公司為**存續公司**），其餘被合併公司法人資格消滅（**消滅公司**）。
* 示意：$A + B \implies A$。
* **新創合併（Consolidation）**：
* 參與合併的所有公司法人資格全部消滅，另外共同設立成立一家全新的獨立法人公司。
* 示意：$A + B \implies C$。
### 2. 結論
主併公司存續、被併公司消滅屬於「**吸收合併**」。原題誤寫為新創合併，故為錯誤。</t>
  </si>
  <si>
    <t>X, 營運合併</t>
  </si>
  <si>
    <t>這個陳述是**錯的**（應填 **`X`**）。
### 1. 營運合併 vs. 財務合併之核心動機
* **營運合併（Strategic / Operating Merger）**：
* 著重於產業本業的整合，追求**規模經濟（Economies of Scale）**、範疇經濟、市場佔有率提升或成本縮減等營運綜效。
* **財務合併（Financial Merger）**：
* 主併者通常為私募股權基金或純財務投資人（如 LBO 操作），目的在於改善資本結構、重組不良資產、利用租稅盾牌或低買高賣資產變現，**不著重營運規模經濟**。
### 2. 結論
著重營運規模經濟利益的是「**營運合併（或策略性合併）**」。原題誤寫為財務合併，故為錯誤。</t>
  </si>
  <si>
    <t>X, &lt; 1</t>
  </si>
  <si>
    <t>Tobin′s Q 是一個用以衡量公司成長性的指標，其值越高代表成長性越高。所以當 A 公司的 Tobin′s Q &lt;span style="color: red; text-decoration: underline;"&gt;&gt; 1&lt;/span&gt; 時，該公司是一個很好的購併標的。</t>
  </si>
  <si>
    <t>這個陳述是**錯的**（應填 **`X`**）。
### 1. 托賓 Q 比率 (Tobin's Q) 與併購評價
$$\text{Tobin's Q} = \frac{\text{企業總資產之市場價值}}{\text{企業總資產之重置成本 (Replacement Cost)}}$$
* **當 $Q &lt; 1$ 時**：
* 代表在資本市場上收購這家公司的代價，**低於**自行重新購置與建造相同資產所需的重置成本。
* 主併公司可以「買比建便宜」的方式低價取得產能與資產，因此是**極佳的併購標的**。
* **當 $Q &gt; 1$ 時**：
* 代表市場給予該公司高估值（成長性高或擁有無形資產），此時收購成本昂貴，自行新建重置反而較划算。
### 2. 結論
優良的併購標的應為 **$\text{Tobin's Q} &lt; 1$**。原題寫成 $&gt; 1$，故為錯誤。</t>
  </si>
  <si>
    <t>購併的意義在於希望藉由此方式來控制資源，達到外部成長目的。</t>
  </si>
  <si>
    <t>這個陳述是**對的**（應填 **`O`**）。
### 1. 企業併購 (M&amp;A) 的策略意義
* **內部成長（Organic Growth）**：依靠內部研發、資本支出與自行擴廠逐步累積資源，速度較慢。
* **外部成長（External Growth）**：透過合併、股權收購、資產收購或策略聯盟，迅速掌控目標公司的關鍵技術、通路、產能與市場份額，以最快速度實現規模經濟與戰略擴張。本題敘述完全符合併購學理定義。</t>
  </si>
  <si>
    <t>X, 同源式合併 (Congeneric Merger)</t>
  </si>
  <si>
    <t>&lt;span style="color: red; text-decoration: underline;"&gt;複合式合併 (Conglomerate Merger)&lt;/span&gt; 是指兩家處在相同產業中，但所經營的業務不太一樣，且沒有業務往來公司的結合。</t>
  </si>
  <si>
    <t>這個陳述是**錯的**（應填 **`X`**）。
### 1. 併購型態分類標準
* **同源式合併（Congeneric Merger）**：
* 參與合併的公司處於**相同或高度相關之廣義產業**中，但彼此經營不同細分業務且無上下游直接交易關係（例如：銀行與保險公司合併）。
* **複合式合併 / 混合合併（Conglomerate Merger）**：
* 兩家公司處於**完全不同、毫無關聯的產業**領域（例如：食品業收購電子業），純粹追求多角化分散風險。
* **水平合併（Horizontal Merger）**：相同產業中生產相同競爭產品之同業結合。
* **垂直合併（Vertical Merger）**：上下游供應鏈關係廠商之結合。
### 2. 結論
相同產業但業務不同且無直接往來屬於「**同源式合併**」。原題誤寫為複合式合併，故為錯誤。</t>
  </si>
  <si>
    <t>X, 教父提議 (Godfather Offer)</t>
  </si>
  <si>
    <t>&lt;span style="color: red; text-decoration: underline;"&gt;「白馬騎士」&lt;/span&gt;是指主併者主動提出一個非常優渥條件，令目標公司難以拒絕。</t>
  </si>
  <si>
    <t>這個陳述是**錯的**（應填 **`X`**）。
### 1. 併購防禦與接管術語解析
* **教父提議（Godfather Offer）**：
* 主併公司向目標公司董事會提出**極度高昂且優渥之收購價格**（An offer they can't refuse），使董事會若拒絕將面臨股東背信訴訟之強制收購手段。
* **白衣騎士 / 白馬騎士（White Knight）**：
* 屬於一種**反收購防禦策略**。當目標公司面臨敵意併購（黑衣騎士）威脅時，主動尋求關係友好的第三方企業進行友好收購以解圍。
### 2. 結論
主動提出優渥條件令目標公司難以拒絕的提議是「**教父提議（Godfather Offer）**」；白馬騎士為防禦策略。原題名詞錯置，故為錯誤。</t>
  </si>
  <si>
    <t>進行投資決策時，&lt;span style="color: red; text-decoration: underline;"&gt;情境分析&lt;/span&gt;每次僅考慮單一變數的變動對投資可行性的影響，以協助瞭解影響投資計畫成敗的關鍵變數。</t>
  </si>
  <si>
    <t>這個陳述是**錯的**（應填 **`X`**）。
### 1. 專案風險評估方法之差異
* **敏感度分析（Sensitivity Analysis）**：
* **單一變數測試**：每次只改變**一個關鍵變數**（如銷售量、售價或變動成本），固定其他所有變數不變，觀察其對專案淨現值 ($NPV$) 的敏感程度，以找出專案成敗的關鍵變數。
* **情境分析（Scenario Analysis）**：
* **多變數同步變動**：同時變動**多個相關變數**，設定樂觀情境（Best Case）、基準情境（Base Case）與悲觀情境（Worst Case），評估整體經濟環境變遷對專案的影響。
### 2. 結論
僅考慮單一變數變動的是「**敏感度分析**」。原題誤寫為情境分析，故為錯誤。</t>
  </si>
  <si>
    <t>5_資本支出預算決策_敏感度分析</t>
  </si>
  <si>
    <t>公司決定要在原有廠房增設一條生產線，在進行資本支出預算決策評估時，廠房因此新增的水電費用必須計入此新生產線計畫的現金流出項目。</t>
  </si>
  <si>
    <t>這個陳述是**對的**（應填 **`O`**）。
### 1. 增量現金流量（Incremental Cash Flows）基本準則
在評估資本預算專案時，現金流量的計算遵循「**有此專案 vs. 無此專案**」的差額比較：
* **必須計入之相關成本**：
1. **新增營運成本（Incremental Expenses）**：因該投資計畫直接引發之**新增水電費、維護費、人事成本**，屬於直接增量流出，必須全額計入。
2. **機會成本（Opportunity Costs）**。
3. **副作用/侵蝕成本（Erosion / Cannibalization）**。
4. **淨營運資金變動額（$\Delta NWC$）**。
* **不可計入之項目**：沉沒成本（Sunk Costs）、歷史已發生費用。本題敘述完全正確。</t>
  </si>
  <si>
    <t>X, 企業價值或計畫價值</t>
  </si>
  <si>
    <t>以公司 EBITDA 為現金流量所估計出的價值為公司的&lt;span style="color: red; text-decoration: underline;"&gt;權益價值&lt;/span&gt;。</t>
  </si>
  <si>
    <t>這個陳述是**錯的**（應填 **`X`**）。
### 1. 現金流量與估值主體之配比法則
* **EBITDA / 營運現金流（OCF / FCFF）**：
* $EBITDA$（未計利息、稅項、折舊及攤銷前盈餘）是本業資產創造的非槓桿現金流量，**尚未扣除支付給債權人的利息**。
* 以 $EBITDA$ 或企業自由現金流折現求得的價值為**企業整體價值（Enterprise Value, EV / 總資產價值）**。
* **權益價值（Equity Value）**：
* 必須採用扣除利息後的股權自由現金流（$FCFE$）進行折現，或以企業總價值扣除淨負債面額求得：
$$\text{權益價值} = \text{企業價值 (EV)} - \text{負債淨額}$$
### 2. 結論
以 $EBITDA$ 估算出來的是「**企業價值或專案計畫價值**」，非權益價值。原題敘述錯誤。</t>
  </si>
  <si>
    <t>X, B 計畫</t>
  </si>
  <si>
    <t>根據公司資金成本與證券市場線關係圖，若 B 計畫的計畫報酬率低於公司資金成本，應選擇 &lt;span style="color: red; text-decoration: underline;"&gt;A 計畫&lt;/span&gt;。</t>
  </si>
  <si>
    <t>這個陳述是**錯的**（應填 **`X`**）。
### 1. 單一資金成本 (WACC) 與證券市場線 (SML) 決策陷阱
在專案風險評估圖中：
* **橫軸為系統風險 $\beta$**，向右上傾斜的直線為 **SML（依風險決定的市場要求報酬率）**，水平橫線為公司的單一 $WACC$。
* **B 計畫（低風險優質計畫）**：
* 預期報酬率雖低於公司平均 $WACC$（水平線下方），但其**高於 SML 市場要求報酬率**（落在 SML 上方）。
* 實質上具備正淨現值 ($NPV &gt; 0$)，能夠為股東創造價值，**應該接受選擇 B 計畫**。
* **A 計畫（高風險劣質計畫）**：
* 預期報酬率雖高於公司 $WACC$（水平線上方），但卻**低於 SML 要求的風險報酬率**（落在 SML 下方，$NPV &lt; 0$），實質上損害公司價值。
* **重要原則**：投資計畫之折現率取決於**資金用途（計畫自身的風險）**，而非資金來源或公司整體的平均資金成本。
### 2. 結論
應選擇「**B 計畫**」，原題主張選擇 A 計畫係屬經典決策陷阱，故為錯誤。</t>
  </si>
  <si>
    <t>X, 不一定</t>
  </si>
  <si>
    <t>較不受景氣循環影響的股票，其價格波動&lt;span style="color: red; text-decoration: underline;"&gt;必然較小&lt;/span&gt;。</t>
  </si>
  <si>
    <t>這個陳述是**錯的**（應填 **`X`**）。
### 1. 股票價格總波動度的組成結構
$$\text{總風險 (價格波動度 } \sigma) = \text{系統性風險 (市場風險)} + \text{個別風險 (公司特定風險)}$$
* **景氣循環的影響**：較不受景氣循環影響的防禦型股票（如公用事業、生技製藥、生鮮食品），其**系統性風險（貝他值 $\beta$）確實較小**。
* **個別風險的不確定性**：單一股票的總價格波動還受到該公司自身「個別風險」的劇烈影響（例如：新藥研發臨床試驗成敗、專利訴訟、高階人事變動）。生技股即使 $\beta$ 低，但個別事件仍會造成股價劇烈暴漲暴跌。
### 2. 結論
景氣敏感度低僅保證系統風險低，總價格波動**不一定較小**。原題斷言「必然較小」過於絕對，故為錯誤。</t>
  </si>
  <si>
    <t>對投資人而言，2019 年末的 COVID-19 屬於市場風險。</t>
  </si>
  <si>
    <t>這個陳述是**對的**（應填 **`O`**）。
### 1. 系統性風險（市場風險）之特質
* **定義**：指源於總體經濟、地緣政治、全球疫情爆發或央行貨幣政策等大環境衝擊，會全面波及市場上幾乎所有產業與企業的風險。
* **不可分散性**：COVID-19 造成的全球供應鏈中斷、封城與消費停滯，全面衝擊各行各業，**無法透過投資組合多角化分散消除**。因此屬於典型的**市場風險（系統性風險 / $\beta$ 風險）**。本題敘述完全正確。</t>
  </si>
  <si>
    <t>X, 無風險利率 (Rf)</t>
  </si>
  <si>
    <t>根據資本資產定價模型 (CAPM)，若某股票的貝他值等於 0，則它的預期報酬也將&lt;span style="color: red; text-decoration: underline;"&gt;為 0&lt;/span&gt;。</t>
  </si>
  <si>
    <t>這個陳述是**錯的**（應填 **`X`**）。
### 1. CAPM 均衡定價公式證明
$$E(R_i) = R_f + \beta_i \times [E(R_m) - R_f]$$
其中：
* $E(R_i)$：股票 $i$ 的預期報酬率。
* $R_f$：無風險利率（貨幣時間價值的基本補償）。
* $\beta_i$：系統性風險敏感度。
* $E(R_m) - R_f$：市場風險溢酬。
### 2. 當 $\beta = 0$ 時的計算
將 $\beta_i = 0$ 代入公式：
$$E(R_i) = R_f + 0 \times [E(R_m) - R_f] = R_f$$
當資產不承擔任何系統風險時，投資人仍享有承擔時間價值的基本回報，即**無風險利率 $R_f$**，而非為 0。
### 3. 結論
預期報酬應等於「**無風險利率 $R_f$**」。原題誤寫為 0，故為錯誤。</t>
  </si>
  <si>
    <t>X, 技術分析無效</t>
  </si>
  <si>
    <t>當弱式效率市場成立時，&lt;span style="color: red; text-decoration: underline;"&gt;可以由技術線圖準確預測股價&lt;/span&gt;。</t>
  </si>
  <si>
    <t>這個陳述是**錯的**（應填 **`X`**）。
### 1. 效率市場假說 (EMH) 三大層級檢驗
* **弱式效率市場（Weak-Form Efficiency）**：
* 股價已完全且迅速地反映所有**歷史價量交易資訊**（包含歷史股價、K線圖、成交量指標等）。
* 結論：任何投資人均**無法透過技術分析（線圖）獲得超額報酬**。
* **半強式效率市場（Semi-Strong Form）**：反映所有**公開資訊**（財報、新聞），**基本面分析無效**。
* **強式效率市場（Strong Form）**：反映所有公開與**未公開內線消息**，**內線交易無效**。
### 2. 結論
弱式效率市場成立時，技術分析完全無效，**無法藉由線圖預測股價並獲利**。原題敘述錯誤。</t>
  </si>
  <si>
    <t>在效率市場中，投資人的投資組合的決定也需考慮投資人對風險的偏好。</t>
  </si>
  <si>
    <t>這個陳述是**對的**（應填 **`O`**）。
### 1. 效率市場下的投資組合決策
* **效率市場之含義**：市場價格公平反映所有資訊，投資人無法隨意挑選「被低估的便宜股票」來獲取超額 Alpha。
* **投資人的主動管理核心**：
* 雖然無法擊敗市場，但每位投資人的**風險承受度與效用偏好**截然不同。
* 投資人必須依據自身的年齡、收入穩定度與風險偏好，在「無風險資產」與「市場風險投資組合」之間進行最佳資本配置比例（資產配置 Asset Allocation），以達成個人效用極大化。本題敘述完全正確。</t>
  </si>
  <si>
    <t>效率市場假說認為未來發生的新資訊皆為隨機發生，因此股價波動亦為隨機，不可預測。</t>
  </si>
  <si>
    <t>這個陳述是**對的**（應填 **`O`**）。
### 1. 隨機漫步假說（Random Walk Hypothesis）之邏輯鏈
1. **即時反映現有資訊**：在效率市場中，當前股價已經完全反映了目前所有已知的資訊。
2. **新資訊的隨機性**：只有「未預期的新資訊（News）」才會引發股價變動，而真正的「新消息」在定義上是不可預測且獨立隨機出現的。
3. **股價變動的隨機性**：既然推動股價變化的新資訊呈隨機分佈，則股價隨時間的變動路徑亦必然呈現**隨機漫步（Random Walk）**，過去的價格走勢無法用以預測未來。本題敘述完全正確。</t>
  </si>
  <si>
    <t>在 MM 完美世界存在下，公司價值極大化為最適當之財務管理目標。</t>
  </si>
  <si>
    <t>這個陳述是**對的**（應填 **`O`**）。
### 1. MM 完美市場下公司價值與股東財富的一致性
* 在無稅收、無交易成本、無代理衝突與無破產危機的 MM 完美世界中：
$$V = D + E$$
* 因為債務面額 $D$ 是固定承諾，且不存在破產摩擦損失，任何能夠極大化企業總價值（$V$ 極大化）的決策，都將完全轉化為**股東權益價值（$E$ 股東財富）的極大化**。
* 因此，「公司價值極大化」與「股東財富極大化」完全等價，為最適當之財務管理目標。本題敘述完全正確。</t>
  </si>
  <si>
    <t>X, 公司價值與資本結構無關</t>
  </si>
  <si>
    <t>在無稅的情況下， MM 理論命題 I 中認為，改變公司的資本結構，&lt;span style="color: red; text-decoration: underline;"&gt;會影響&lt;/span&gt;公司的價值。</t>
  </si>
  <si>
    <t>這個陳述是**錯的**（應填 **`X`**）。
### 1. MM 無稅第一命題（資本結構無關論）
* **核心定理（Modigliani-Miller, 1958）**：在無公司所得稅的完美市場中，**有負債公司的價值等於無負債公司的價值**：
$$V_L = V_U$$
* **比喻（切大餅理論）**：企業總價值取決於資產負債表左側資產實質創造現金流的能力（大餅的總大小），而右側融資結構只是大餅如何被切分給債權人與股東，切分方式絕不影響大餅的總價值。
* **套利證明**：若兩者價值出現差異，投資人可透過自製槓桿（Homemade Leverage）進行無風險套利抹平差價。
### 2. 結論
無稅情況下，公司價值與資本結構**完全無關**。原題稱「會影響」係屬錯誤。</t>
  </si>
  <si>
    <t>X, RE 增加，RWACC 降低</t>
  </si>
  <si>
    <t>在有稅的情形下， MM 理論命題 II 顯示，&lt;span style="color: red; text-decoration: underline;"&gt;權益的資金成本與公司的加權平均資金成本 (RWACC) 隨著槓桿程度增加而降低&lt;/span&gt;。</t>
  </si>
  <si>
    <t>這個陳述是**錯的**（應填 **`X`**）。
### 1. MM 有稅第二命題公式推導
$$R_E = R_U + (R_U - R_D) \times (1 - T_c) \times \frac{D}{E}$$
* **權益資金成本 $R_E$ 的走勢**：
* 隨著財務槓桿（負債權益比 $D/E$）提高，股東承擔的財務風險上升，因此**股權要求報酬率 $R_E$ 必定隨槓桿增加而「上升（增加）」**（僅上升斜率因利息稅盾 $1-T_c$ 比無稅時較為平緩）。
* **加權平均資金成本 $R_{WACC}$ 的走勢**：
* 因利息可扣抵所得稅產生稅盾效益，便宜的稅後負債權重提高，使**整體加權平均資金成本 $R_{WACC}$ 隨槓桿增加而「降低」**。
### 2. 結論
權益資金成本 $R_E$ 是**上升**，僅有 $R_{WACC}$ 降低。原題將兩者合併為均降低，故為錯誤。</t>
  </si>
  <si>
    <t>所謂稅盾價值，亦即公司所得稅率乘上舉債面額。</t>
  </si>
  <si>
    <t>這個陳述是**對的**（應填 **`O`**）。
### 1. 永久性債務之利息稅盾現值證明
* **每年節稅現金流**：
$$\text{每年節稅額} = \text{利息支出} \times T_c = (R_D \times D) \times T_c$$
* **利息稅盾的現值（PV of Tax Shield）**：
* 依據債務資金成本 $R_D$ 進行永久年金折現：
$$\text{稅盾價值} = \frac{(R_D \times D) \times T_c}{R_D} = T_c \times D$$
* 其中 $T_c$ 為公司所得稅率，$D$ 為舉債面額。本題敘述完全正確。</t>
  </si>
  <si>
    <t>MM 與資本結構有關論的論述中，認為舉債越多，公司價值越高，是因為稅盾效果。</t>
  </si>
  <si>
    <t>這個陳述是**對的**（應填 **`O`**）。
### 1. MM 有稅第一命題之價值公式
$$V_L = V_U + T_c \times D$$
* **學理意涵**：在有公司所得稅的環境中，負債利息具有稅前列支扣抵稅捐的「稅盾效益（Tax Shield）」。
* **極端推論**：由於未考慮破產危機成本與代理成本，在此模型下，舉債越多創造的利息稅盾價值 $T_c D$ 越大，有負債公司的總價值 $V_L$ 就越高（100% 負債時達到最高）。本題敘述完全正確。</t>
  </si>
  <si>
    <t>X, 訊息對稱（獲得相同資訊）</t>
  </si>
  <si>
    <t>MM 資本結構無關論理論的假設，包含市場&lt;span style="color: red; text-decoration: underline;"&gt;允許訊息不對稱&lt;/span&gt;的假設。</t>
  </si>
  <si>
    <t>這個陳述是**錯的**（應填 **`X`**）。
### 1. MM 資本結構無關論之完美市場假設
MM 第一命題（1958）建立於完美無摩擦資本市場的嚴格前提下，其核心假設包含：
1. **資訊完全對稱與同質預期（Symmetric Information）**：所有市場投資人與內部人掌握完全相同的資訊。
2. **無稅收**：無公司稅與個人所得稅。
3. **無交易成本與發行成本**。
4. **無破產成本與代理成本**。
5. **借貸利率相等**：個人與公司均能以相同無風險利率借貸。
### 2. 結論
若允許「訊息不對稱」，則會衍生融資順位理論或訊號發射理論，資本結構將直接影響公司價值。因此 MM 假設為「**訊息完全對稱**」，原題敘述錯誤。</t>
  </si>
  <si>
    <t>資本結構理論中，其公司整體的資金成本 (RWACC)，為負債資金成本 (RD) 和權益資金成本 (RE) 的&lt;span style="color: red; text-decoration: underline;"&gt;幾何平均&lt;/span&gt;。</t>
  </si>
  <si>
    <t>這個陳述是**錯的**（應填 **`X`**）。
### 1. WACC 的本質是加權平均 (Weighted Average)
$$R_{WACC} = R_D \times (1 - T_c) \times \frac{D}{V} + R_E \times \frac{E}{V}$$
* **加權比例**：依據負債比重 $D/V$ 與股權比重 $E/V$ 的**市場價值權重**進行加權平均。
* **幾何平均公式為 $\sqrt{R_D \times R_E}$**，在財務學理與數學定義上完全不適用於計算多種資本來源的綜合資金成本。
### 2. 結論
公司整體資金成本為負債與權益成本的「**加權平均**」。原題誤寫為幾何平均，故為錯誤。</t>
  </si>
  <si>
    <t>若 MM 的完美市場存在時，股利政策並不會影響到公司價值。因為投資者會使用自製股利來為自己創造所偏好的現金流量。</t>
  </si>
  <si>
    <t>這個陳述是**對的**（應填 **`O`**）。
### 1. MM 股利無關論（Miller-Modigliani, 1961）
* **核心論點**：在無稅、無交易成本的完美市場中，公司的價值完全由資產的投資決策（營運獲利能力）決定，而非取決於盈餘如何分配為股利或保留盈餘。
* **自製股利機制（Homemade Dividends）**：
* 若公司配發股利低於投資人預期，投資人可自行賣出部分股票換取現金。
* 若公司配發股利高於投資人需求，投資人可將多餘股利再買入公司股票。
* 投資人可零成本自製所需的現金流量，因此公司的股利政策無法創造額外價值。本題敘述完全正確。</t>
  </si>
  <si>
    <t>10_股利政策_股利的各種形式</t>
  </si>
  <si>
    <t>舉債可以降低因自由現金流量所產生的代理問題。</t>
  </si>
  <si>
    <t>這個陳述是**對的**（應填 **`O`**）。
### 1. 詹森自由現金流量假說 (Free Cash Flow Hypothesis, Jensen 1986)
* **代理衝突**：當公司營運累積充沛的多餘自由現金，經理人容易產生盲目擴張帝國、在職消費或投資賠錢專案的浪費行為。
* **負債的硬性約束控制假說（Control Hypothesis of Debt）**：
* 舉債具有法律上強制還本付息的剛性義務。
* 負債會減少經理人可自由支配的閒置現金，且一旦違約將面臨破產與失業懲罰，能有效逼迫經理人審慎營運、提升效率，大幅降低自由現金流量之代理成本。本題敘述完全正確。</t>
  </si>
  <si>
    <t>若有一個可挽救公司脫離破產的投資計畫，股東不一定願意投資。</t>
  </si>
  <si>
    <t>這個陳述是**對的**（應填 **`O`**）。
### 1. 負債代理成本：投資不足問題（Underinvestment / Debt Overhang）
* **成因**：當公司面臨財務危機時，即使存在一個淨現值大於零（$NPV &gt; 0$）的優質投資計畫，需要股東額外掏錢增資。
* **利益衝突**：
* 新增投資所創造的現金流入，將優先被既有的債權人拿去償還舊債本息。
* 股東自己掏腰包承擔全部出資成本，但回收的剩餘價值卻微乎其微甚至虧損，實質效益全被債權人瓜分（財富由股東移轉給債權人）。
* 因此理性股東寧可放棄有利可圖的計畫也不願增資，造成「投資不足」。本題敘述完全正確。</t>
  </si>
  <si>
    <t>間接破產成本包含於財務危機成本中，且間接破產成本是指因財務危機而增加的營運與財務成本。</t>
  </si>
  <si>
    <t>這個陳述是**對的**（應填 **`O`**）。
### 1. 財務危機成本之兩大組成
* **直接破產成本（Direct Costs）**：破產法律訴訟費、會計師清算費、法院行政支出（佔公司資產比例較小，約 1%~5%）。
* **間接破產成本（Indirect Costs）**：
* 企業陷入財務困境時，客戶擔心售後服務而拒絕購買造成**營收流失**。
* 供應商取消信用賒帳、要求現金交易導致**營運受阻**。
* 優秀人才離職、必須支付更高的融資利率、被迫賤賣資產等**龐大營運與財務損失**（通常遠大於直接成本）。本題敘述完全正確。</t>
  </si>
  <si>
    <t>信號放射理論認為預期高獲利的公司會有較高的負債比例。</t>
  </si>
  <si>
    <t>這個陳述是**對的**（應填 **`O`**）。
### 1. 羅斯 (Ross, 1977) 負債訊號模型
* **昂貴訊號原則**：一個有效的訊號必須具備「模仿成本」，低品質企業若盲目模仿將付出毀滅性代價。
* **獲利能力與破產懲罰**：
* 預期**高獲利公司**：經理人確信未來營運現金流充沛，足以輕鬆支應債務本息，因而敢於**提高負債比例**，向市場宣告公司體質強韌。
* 預期**低獲利公司**：若盲目舉債將面臨極高的破產違約與失業風險，經理人不敢輕易模仿。
* **市場解讀**：市場將「高負債比例」視為公司預期高獲利的重大利多訊號。本題敘述完全正確。</t>
  </si>
  <si>
    <t>X, 等於</t>
  </si>
  <si>
    <t>公司最佳的資本結構在增加一單位債務時，稅盾的邊際利益&lt;span style="color: red; text-decoration: underline;"&gt;大於&lt;/span&gt;財務危機邊際成本。</t>
  </si>
  <si>
    <t>這個陳述是**錯的**（應填 **`X`**）。
### 1. 靜態權衡理論 (Static Trade-off Theory) 之邊際極值條件
* **最佳資本結構點（Optimal Capital Structure）**：
* 公司價值極大化發生在「多舉債一單位帶來的**邊際稅盾利益 ($MB$) 剛好等於邊際財務危機成本 ($MC$)**」之均衡點：
$$\text{邊際稅盾利益 (MB)} = \text{邊際財務危機成本 (MC)}$$
* **動態調整方向**：
* 若 $MB &gt; MC$：舉債好處大於成本，應繼續增加負債。
* 若 $MB &lt; MC$：破產成本已超越節稅好處（過度槓桿），應減少負債。
### 2. 結論
最佳資本結構點應為「**等於**」。原題誤寫為大於，故為錯誤。</t>
  </si>
  <si>
    <t>X, 減少使用</t>
  </si>
  <si>
    <t>當稅盾的邊際利益小於財務危機邊際成本時，應該&lt;span style="color: red; text-decoration: underline;"&gt;增加使用&lt;/span&gt;負債融資。</t>
  </si>
  <si>
    <t>這個陳述是**錯的**（應填 **`X`**）。
### 1. 權衡理論之邊際決策準則
* **當 $MB &lt; MC$ 時**：
* 代表公司當前槓桿過高，每多借一塊錢所增加的破產財務危機成本，已經超過了所能獲得的利息節稅利益。
* 繼續增加舉債只會摧毀公司價值，拉高整體資金成本 $WACC$。
* **正確策略**：公司必須**減少使用負債融資（降低負債比率）**，使邊際利益重新回升並貼近邊際成本，拉回最佳平衡點。
### 2. 結論
此時應「**減少使用負債融資**」。原題寫成增加使用，故為錯誤。</t>
  </si>
  <si>
    <t>根據信號發射理論，股利增發傳達經理人預期公司未來盈餘將增加或是公司成長性降低的信號給投資人。</t>
  </si>
  <si>
    <t>這個陳述是**對的**（應填 **`O`**）。
### 1. 股利政策之訊號理論雙重意涵
* **正面訊號（盈餘增加）**：股利支付具備黏性，經理人只有在確信公司未來營運現金流充沛且具備持久性時才敢宣布增發股利。
* **成熟轉型訊號（成長性降低）**：增發股利亦可能向市場傳達公司已由高資本支出的「成長期」步入平穩的「成熟期」，內部高回報投資機會減少，因而將盈餘以股利形式大量返還股東。本題敘述完全正確。</t>
  </si>
  <si>
    <t>X, 85 天</t>
  </si>
  <si>
    <t>大德公司之存貨期間為 65 天，應收帳款期間為 20 天，應付帳款期間為 35 天，則營業循環天數為 &lt;span style="color: red; text-decoration: underline;"&gt;50 天&lt;/span&gt;。</t>
  </si>
  <si>
    <t>這個陳述是**錯的**（應填 **`X`**）。
### 1. 循環天數公式與計算
* **營業循環天數（Operating Cycle）**：
$$\text{營業循環} = \text{存貨天數} + \text{應收帳款天數} = 65 + 20 = 85\text{ 天}$$
* **現金循環天數（Cash Cycle）**：
$$\text{現金循環} = \text{營業循環} - \text{應付帳款天數} = 85 - 35 = 50\text{ 天}$$
### 2. 結論
題目問的是「**營業循環天數**」，正確應為 **$85$ 天**。題目誤用現金循環算出 50 天，故為錯誤。</t>
  </si>
  <si>
    <t>應收帳款減少可導致現金增加。</t>
  </si>
  <si>
    <t>這個陳述是**對的**（應填 **`O`**）。
### 1. 現金流量與資產負債變動之關係（現金來源口訣）
依據資產負債表平衡原則 $\Delta \text{現金} = \Delta \text{負債} + \Delta \text{權益} - \Delta \text{非現金資產}$：
* **現金來源（帶來現金流入）**：
1. 長期負債增加（借入資金）。
2. 股東權益增加（增資或獲利保留）。
3. 固定資產減少（處分資產變現）。
4. **非現金流動資產減少（如應收帳款收回變現、存貨去化變現）**。
* 應收帳款減少代表客戶已支付現金清償賒銷帳款，因此直接導致**現金增加**。本題敘述完全正確。</t>
  </si>
  <si>
    <t>在一個理想世界，短期資產以短期負債來融資，長期資產以長期負債來融資，淨營運資金為零。</t>
  </si>
  <si>
    <t>這個陳述是**對的**（應填 **`O`**）。
### 1. 期限配對原則 (Maturity Matching Principle) 之理想狀態
* **理想世界（Perfect World）**：
* **流動資產（短期資產）**：全部由**流動負債（短期負債）**融資 $\implies \text{流動資產} = \text{流動負債}$。
* **固定資產（長期資產）**：全部由**長期負債與權益**融資。
* **淨營運資金 ($NWC$) 計算**：
$$NWC = \text{流動資產} - \text{流動負債} = 0$$
* 此時無多餘短期資金閒置成本，亦無以短融長之流動性斷裂風險。本題敘述完全正確。</t>
  </si>
  <si>
    <t>X, 彈性的短期融資策略</t>
  </si>
  <si>
    <t>&lt;span style="color: red; text-decoration: underline;"&gt;緊縮的短期融資策略&lt;/span&gt;意指：相較長期融資而言，採取一個較低的短期負債比例。</t>
  </si>
  <si>
    <t>這個陳述是**錯的**（應填 **`X`**）。
### 1. 短期融資策略之兩大型態比較
* **彈性融資策略（Flexible / Conservative Policy / 寬鬆策略）**：
* 採取較高比例的長期融資，**短期負債比例極低**，並維持充沛的現金與流動資產儲備，追求高度安全性。
* **緊縮融資策略（Restrictive / Aggressive Policy / 激進策略）**：
* 採取**高比例的短期負債融資**（甚至以短融長），流動資產維持在極低水準，追求最低融資成本但承擔高再融資風險。
### 2. 結論
採取較低短期負債比例的是「**彈性的短期融資策略**」。原題誤寫為緊縮策略，故為錯誤。</t>
  </si>
  <si>
    <t>應付所得稅對營運資金而言為一個減項。</t>
  </si>
  <si>
    <t>這個陳述是**對的**（應填 **`O`**）。
### 1. 淨營運資金 (NWC) 之會計結構
$$NWC = \text{流動資產 (Current Assets)} - \text{流動負債 (Current Liabilities)}$$
* **應付所得稅（Income Taxes Payable）**：屬於企業一年內必須以現金清償的**流動負債**。
* **減項關係**：在計算淨營運資金時，所有流動負債均為減除項目（侵蝕淨流動性資金）。因此應付所得稅確實為營運資金的**減項**。本題敘述完全正確。</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</si>
</sst>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numFmts>
  <fonts count="2">
    <font>
      <sz val="12.0"/>
      <color theme="1"/>
      <name val="Calibri"/>
      <scheme val="minor"/>
    </font>
    <font>
      <sz val="12.0"/>
      <color theme="1"/>
      <name val="Microsoft JhengHei"/>
    </font>
  </fonts>
  <fills count="4">
    <fill>
      <patternFill patternType="none"/>
    </fill>
    <fill>
      <patternFill patternType="lightGray"/>
    </fill>
    <fill>
      <patternFill patternType="solid">
        <fgColor rgb="FFFFFF00"/>
        <bgColor rgb="FFFFFF00"/>
      </patternFill>
    </fill>
    <fill>
      <patternFill patternType="solid">
        <fgColor rgb="FF92D050"/>
        <bgColor rgb="FF92D050"/>
      </patternFill>
    </fill>
  </fills>
  <borders count="2">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center" wrapText="0"/>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0" fontId="1" numFmtId="0" xfId="0" applyAlignment="1" applyFont="1">
      <alignment vertical="center"/>
    </xf>
    <xf quotePrefix="1" borderId="0" fillId="0" fontId="1" numFmtId="164" xfId="0" applyAlignment="1" applyFont="1" applyNumberFormat="1">
      <alignment horizontal="center" vertical="center"/>
    </xf>
    <xf borderId="0" fillId="0" fontId="1" numFmtId="0" xfId="0" applyAlignment="1" applyFont="1">
      <alignment shrinkToFit="0" vertical="center" wrapText="1"/>
    </xf>
    <xf borderId="1" fillId="2" fontId="1" numFmtId="0" xfId="0" applyAlignment="1" applyBorder="1" applyFill="1" applyFont="1">
      <alignment vertical="center"/>
    </xf>
    <xf borderId="1" fillId="2" fontId="1" numFmtId="0" xfId="0" applyAlignment="1" applyBorder="1" applyFill="1" applyFont="1">
      <alignment horizontal="center" vertical="center"/>
    </xf>
    <xf borderId="1" fillId="2" fontId="1" numFmtId="0" xfId="0" applyAlignment="1" applyBorder="1" applyFill="1" applyFont="1">
      <alignment shrinkToFit="0" vertical="center" wrapText="1"/>
    </xf>
    <xf borderId="1" fillId="3" fontId="1" numFmtId="0" xfId="0" applyAlignment="1" applyBorder="1" applyFill="1" applyFont="1">
      <alignment vertical="center"/>
    </xf>
    <xf borderId="1" fillId="3" fontId="1" numFmtId="0" xfId="0" applyAlignment="1" applyBorder="1" applyFill="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8.33"/>
    <col customWidth="1" min="2" max="2" width="9.33"/>
    <col customWidth="1" min="3" max="3" width="8.0"/>
    <col customWidth="1" min="4" max="4" width="11.11"/>
    <col customWidth="1" min="5" max="5" width="36.0"/>
    <col customWidth="1" min="6" max="6" width="46.0"/>
    <col customWidth="1" min="7" max="7" width="7.89"/>
    <col customWidth="1" min="8" max="8" width="31.33"/>
    <col customWidth="1" min="9" max="9" width="42.22"/>
    <col customWidth="1" min="10" max="10" width="36.0"/>
    <col customWidth="1" min="11" max="26" width="7.0"/>
  </cols>
  <sheetData>
    <row r="1">
      <c r="A1" s="1" t="s">
        <v>0</v>
      </c>
      <c r="B1" s="1" t="s">
        <v>1</v>
      </c>
      <c r="C1" s="1" t="s">
        <v>2</v>
      </c>
      <c r="D1" s="1" t="s">
        <v>3</v>
      </c>
      <c r="E1" s="2" t="s">
        <v>4</v>
      </c>
      <c r="F1" s="1" t="s">
        <v>5</v>
      </c>
      <c r="G1" s="1" t="s">
        <v>6</v>
      </c>
      <c r="H1" s="1" t="s">
        <v>7</v>
      </c>
      <c r="I1" s="1" t="s">
        <v>8</v>
      </c>
      <c r="J1" s="2"/>
      <c r="K1" s="1"/>
      <c r="L1" s="1"/>
      <c r="M1" s="1"/>
      <c r="N1" s="1"/>
      <c r="O1" s="1"/>
      <c r="P1" s="1"/>
      <c r="Q1" s="1"/>
      <c r="R1" s="1"/>
      <c r="S1" s="1"/>
      <c r="T1" s="1"/>
      <c r="U1" s="1"/>
      <c r="V1" s="1"/>
      <c r="W1" s="1"/>
      <c r="X1" s="1"/>
      <c r="Y1" s="1"/>
      <c r="Z1" s="1"/>
    </row>
    <row r="2" ht="27.0" customHeight="1">
      <c r="A2" s="3" t="s">
        <v>9</v>
      </c>
      <c r="B2" s="4" t="s">
        <v>10</v>
      </c>
      <c r="C2" s="1">
        <v>1.0</v>
      </c>
      <c r="D2" s="3" t="s">
        <v>11</v>
      </c>
      <c r="E2" s="5" t="s">
        <v>12</v>
      </c>
      <c r="F2" s="5" t="s">
        <v>13</v>
      </c>
      <c r="G2" s="3">
        <f t="array" ref="G2">SUMPRODUCT(--(TRIM($E$2:$E$421)=TRIM(E2)))</f>
        <v>5</v>
      </c>
      <c r="H2" s="3" t="s">
        <v>14</v>
      </c>
      <c r="I2" s="3" t="s">
        <v>15</v>
      </c>
      <c r="J2" s="5"/>
      <c r="K2" s="3"/>
      <c r="L2" s="3"/>
      <c r="M2" s="3"/>
      <c r="N2" s="3"/>
      <c r="O2" s="3"/>
      <c r="P2" s="3"/>
      <c r="Q2" s="3"/>
      <c r="R2" s="3"/>
      <c r="S2" s="3"/>
      <c r="T2" s="3"/>
      <c r="U2" s="3"/>
      <c r="V2" s="3"/>
      <c r="W2" s="3"/>
      <c r="X2" s="3"/>
      <c r="Y2" s="3"/>
      <c r="Z2" s="3"/>
    </row>
    <row r="3" ht="27.0" customHeight="1">
      <c r="A3" s="3" t="s">
        <v>9</v>
      </c>
      <c r="B3" s="4" t="s">
        <v>10</v>
      </c>
      <c r="C3" s="1">
        <v>2.0</v>
      </c>
      <c r="D3" s="3" t="s">
        <v>16</v>
      </c>
      <c r="E3" s="5" t="s">
        <v>17</v>
      </c>
      <c r="F3" s="5" t="s">
        <v>18</v>
      </c>
      <c r="G3" s="3">
        <f t="array" ref="G3">SUMPRODUCT(--(TRIM($E$2:$E$421)=TRIM(E3)))</f>
        <v>6</v>
      </c>
      <c r="H3" s="3" t="s">
        <v>14</v>
      </c>
      <c r="I3" s="3" t="s">
        <v>15</v>
      </c>
      <c r="J3" s="5"/>
      <c r="K3" s="3"/>
      <c r="L3" s="3"/>
      <c r="M3" s="3"/>
      <c r="N3" s="3"/>
      <c r="O3" s="3"/>
      <c r="P3" s="3"/>
      <c r="Q3" s="3"/>
      <c r="R3" s="3"/>
      <c r="S3" s="3"/>
      <c r="T3" s="3"/>
      <c r="U3" s="3"/>
      <c r="V3" s="3"/>
      <c r="W3" s="3"/>
      <c r="X3" s="3"/>
      <c r="Y3" s="3"/>
      <c r="Z3" s="3"/>
    </row>
    <row r="4" ht="27.0" customHeight="1">
      <c r="A4" s="3" t="s">
        <v>9</v>
      </c>
      <c r="B4" s="4" t="s">
        <v>10</v>
      </c>
      <c r="C4" s="1">
        <v>3.0</v>
      </c>
      <c r="D4" s="3" t="s">
        <v>19</v>
      </c>
      <c r="E4" s="5" t="s">
        <v>20</v>
      </c>
      <c r="F4" s="5" t="s">
        <v>21</v>
      </c>
      <c r="G4" s="3">
        <f t="array" ref="G4">SUMPRODUCT(--(TRIM($E$2:$E$421)=TRIM(E4)))</f>
        <v>3</v>
      </c>
      <c r="H4" s="3" t="s">
        <v>22</v>
      </c>
      <c r="I4" s="3" t="s">
        <v>23</v>
      </c>
      <c r="J4" s="5"/>
      <c r="K4" s="3"/>
      <c r="L4" s="3"/>
      <c r="M4" s="3"/>
      <c r="N4" s="3"/>
      <c r="O4" s="3"/>
      <c r="P4" s="3"/>
      <c r="Q4" s="3"/>
      <c r="R4" s="3"/>
      <c r="S4" s="3"/>
      <c r="T4" s="3"/>
      <c r="U4" s="3"/>
      <c r="V4" s="3"/>
      <c r="W4" s="3"/>
      <c r="X4" s="3"/>
      <c r="Y4" s="3"/>
      <c r="Z4" s="3"/>
    </row>
    <row r="5" ht="27.0" customHeight="1">
      <c r="A5" s="3" t="s">
        <v>9</v>
      </c>
      <c r="B5" s="4" t="s">
        <v>10</v>
      </c>
      <c r="C5" s="1">
        <v>4.0</v>
      </c>
      <c r="D5" s="3" t="s">
        <v>24</v>
      </c>
      <c r="E5" s="5" t="s">
        <v>25</v>
      </c>
      <c r="F5" s="5" t="s">
        <v>26</v>
      </c>
      <c r="G5" s="3">
        <f t="array" ref="G5">SUMPRODUCT(--(TRIM($E$2:$E$421)=TRIM(E5)))</f>
        <v>3</v>
      </c>
      <c r="H5" s="3" t="s">
        <v>27</v>
      </c>
      <c r="I5" s="3" t="s">
        <v>28</v>
      </c>
      <c r="J5" s="5"/>
      <c r="K5" s="3"/>
      <c r="L5" s="3"/>
      <c r="M5" s="3"/>
      <c r="N5" s="3"/>
      <c r="O5" s="3"/>
      <c r="P5" s="3"/>
      <c r="Q5" s="3"/>
      <c r="R5" s="3"/>
      <c r="S5" s="3"/>
      <c r="T5" s="3"/>
      <c r="U5" s="3"/>
      <c r="V5" s="3"/>
      <c r="W5" s="3"/>
      <c r="X5" s="3"/>
      <c r="Y5" s="3"/>
      <c r="Z5" s="3"/>
    </row>
    <row r="6" ht="27.0" customHeight="1">
      <c r="A6" s="3" t="s">
        <v>9</v>
      </c>
      <c r="B6" s="4" t="s">
        <v>10</v>
      </c>
      <c r="C6" s="1">
        <v>5.0</v>
      </c>
      <c r="D6" s="3" t="s">
        <v>29</v>
      </c>
      <c r="E6" s="5" t="s">
        <v>30</v>
      </c>
      <c r="F6" s="5" t="s">
        <v>31</v>
      </c>
      <c r="G6" s="3">
        <f t="array" ref="G6">SUMPRODUCT(--(TRIM($E$2:$E$421)=TRIM(E6)))</f>
        <v>5</v>
      </c>
      <c r="H6" s="3" t="s">
        <v>27</v>
      </c>
      <c r="I6" s="3" t="s">
        <v>28</v>
      </c>
      <c r="J6" s="5"/>
      <c r="K6" s="3"/>
      <c r="L6" s="3"/>
      <c r="M6" s="3"/>
      <c r="N6" s="3"/>
      <c r="O6" s="3"/>
      <c r="P6" s="3"/>
      <c r="Q6" s="3"/>
      <c r="R6" s="3"/>
      <c r="S6" s="3"/>
      <c r="T6" s="3"/>
      <c r="U6" s="3"/>
      <c r="V6" s="3"/>
      <c r="W6" s="3"/>
      <c r="X6" s="3"/>
      <c r="Y6" s="3"/>
      <c r="Z6" s="3"/>
    </row>
    <row r="7" ht="27.0" customHeight="1">
      <c r="A7" s="3" t="s">
        <v>9</v>
      </c>
      <c r="B7" s="4" t="s">
        <v>10</v>
      </c>
      <c r="C7" s="1">
        <v>6.0</v>
      </c>
      <c r="D7" s="3" t="s">
        <v>32</v>
      </c>
      <c r="E7" s="5" t="s">
        <v>33</v>
      </c>
      <c r="F7" s="5" t="s">
        <v>34</v>
      </c>
      <c r="G7" s="3">
        <f t="array" ref="G7">SUMPRODUCT(--(TRIM($E$2:$E$421)=TRIM(E7)))</f>
        <v>2</v>
      </c>
      <c r="H7" s="3" t="s">
        <v>35</v>
      </c>
      <c r="I7" s="3" t="s">
        <v>36</v>
      </c>
      <c r="J7" s="5"/>
      <c r="K7" s="3"/>
      <c r="L7" s="3"/>
      <c r="M7" s="3"/>
      <c r="N7" s="3"/>
      <c r="O7" s="3"/>
      <c r="P7" s="3"/>
      <c r="Q7" s="3"/>
      <c r="R7" s="3"/>
      <c r="S7" s="3"/>
      <c r="T7" s="3"/>
      <c r="U7" s="3"/>
      <c r="V7" s="3"/>
      <c r="W7" s="3"/>
      <c r="X7" s="3"/>
      <c r="Y7" s="3"/>
      <c r="Z7" s="3"/>
    </row>
    <row r="8" ht="27.0" customHeight="1">
      <c r="A8" s="3" t="s">
        <v>9</v>
      </c>
      <c r="B8" s="4" t="s">
        <v>10</v>
      </c>
      <c r="C8" s="1">
        <v>7.0</v>
      </c>
      <c r="D8" s="3" t="s">
        <v>32</v>
      </c>
      <c r="E8" s="5" t="s">
        <v>37</v>
      </c>
      <c r="F8" s="5" t="s">
        <v>38</v>
      </c>
      <c r="G8" s="3">
        <f t="array" ref="G8">SUMPRODUCT(--(TRIM($E$2:$E$421)=TRIM(E8)))</f>
        <v>3</v>
      </c>
      <c r="H8" s="3" t="s">
        <v>39</v>
      </c>
      <c r="I8" s="3" t="s">
        <v>40</v>
      </c>
      <c r="J8" s="5"/>
      <c r="K8" s="3"/>
      <c r="L8" s="3"/>
      <c r="M8" s="3"/>
      <c r="N8" s="3"/>
      <c r="O8" s="3"/>
      <c r="P8" s="3"/>
      <c r="Q8" s="3"/>
      <c r="R8" s="3"/>
      <c r="S8" s="3"/>
      <c r="T8" s="3"/>
      <c r="U8" s="3"/>
      <c r="V8" s="3"/>
      <c r="W8" s="3"/>
      <c r="X8" s="3"/>
      <c r="Y8" s="3"/>
      <c r="Z8" s="3"/>
    </row>
    <row r="9" ht="27.0" customHeight="1">
      <c r="A9" s="3" t="s">
        <v>9</v>
      </c>
      <c r="B9" s="4" t="s">
        <v>10</v>
      </c>
      <c r="C9" s="1">
        <v>8.0</v>
      </c>
      <c r="D9" s="3" t="s">
        <v>41</v>
      </c>
      <c r="E9" s="5" t="s">
        <v>42</v>
      </c>
      <c r="F9" s="5" t="s">
        <v>43</v>
      </c>
      <c r="G9" s="3">
        <f t="array" ref="G9">SUMPRODUCT(--(TRIM($E$2:$E$421)=TRIM(E9)))</f>
        <v>5</v>
      </c>
      <c r="H9" s="3" t="s">
        <v>44</v>
      </c>
      <c r="I9" s="3" t="s">
        <v>45</v>
      </c>
      <c r="J9" s="5"/>
      <c r="K9" s="3"/>
      <c r="L9" s="3"/>
      <c r="M9" s="3"/>
      <c r="N9" s="3"/>
      <c r="O9" s="3"/>
      <c r="P9" s="3"/>
      <c r="Q9" s="3"/>
      <c r="R9" s="3"/>
      <c r="S9" s="3"/>
      <c r="T9" s="3"/>
      <c r="U9" s="3"/>
      <c r="V9" s="3"/>
      <c r="W9" s="3"/>
      <c r="X9" s="3"/>
      <c r="Y9" s="3"/>
      <c r="Z9" s="3"/>
    </row>
    <row r="10" ht="27.0" customHeight="1">
      <c r="A10" s="3" t="s">
        <v>9</v>
      </c>
      <c r="B10" s="4" t="s">
        <v>10</v>
      </c>
      <c r="C10" s="1">
        <v>9.0</v>
      </c>
      <c r="D10" s="3" t="s">
        <v>46</v>
      </c>
      <c r="E10" s="5" t="s">
        <v>47</v>
      </c>
      <c r="F10" s="5" t="s">
        <v>48</v>
      </c>
      <c r="G10" s="3">
        <f t="array" ref="G10">SUMPRODUCT(--(TRIM($E$2:$E$421)=TRIM(E10)))</f>
        <v>6</v>
      </c>
      <c r="H10" s="3" t="s">
        <v>49</v>
      </c>
      <c r="I10" s="3" t="s">
        <v>50</v>
      </c>
      <c r="J10" s="5"/>
      <c r="K10" s="3"/>
      <c r="L10" s="3"/>
      <c r="M10" s="3"/>
      <c r="N10" s="3"/>
      <c r="O10" s="3"/>
      <c r="P10" s="3"/>
      <c r="Q10" s="3"/>
      <c r="R10" s="3"/>
      <c r="S10" s="3"/>
      <c r="T10" s="3"/>
      <c r="U10" s="3"/>
      <c r="V10" s="3"/>
      <c r="W10" s="3"/>
      <c r="X10" s="3"/>
      <c r="Y10" s="3"/>
      <c r="Z10" s="3"/>
    </row>
    <row r="11" ht="27.0" customHeight="1">
      <c r="A11" s="3" t="s">
        <v>9</v>
      </c>
      <c r="B11" s="4" t="s">
        <v>10</v>
      </c>
      <c r="C11" s="1">
        <v>10.0</v>
      </c>
      <c r="D11" s="3" t="s">
        <v>51</v>
      </c>
      <c r="E11" s="5" t="s">
        <v>52</v>
      </c>
      <c r="F11" s="5" t="s">
        <v>53</v>
      </c>
      <c r="G11" s="3">
        <f t="array" ref="G11">SUMPRODUCT(--(TRIM($E$2:$E$421)=TRIM(E11)))</f>
        <v>3</v>
      </c>
      <c r="H11" s="3" t="s">
        <v>54</v>
      </c>
      <c r="I11" s="3" t="s">
        <v>55</v>
      </c>
      <c r="J11" s="5"/>
      <c r="K11" s="3"/>
      <c r="L11" s="3"/>
      <c r="M11" s="3"/>
      <c r="N11" s="3"/>
      <c r="O11" s="3"/>
      <c r="P11" s="3"/>
      <c r="Q11" s="3"/>
      <c r="R11" s="3"/>
      <c r="S11" s="3"/>
      <c r="T11" s="3"/>
      <c r="U11" s="3"/>
      <c r="V11" s="3"/>
      <c r="W11" s="3"/>
      <c r="X11" s="3"/>
      <c r="Y11" s="3"/>
      <c r="Z11" s="3"/>
    </row>
    <row r="12" ht="27.0" customHeight="1">
      <c r="A12" s="3" t="s">
        <v>9</v>
      </c>
      <c r="B12" s="4" t="s">
        <v>10</v>
      </c>
      <c r="C12" s="1">
        <v>11.0</v>
      </c>
      <c r="D12" s="3" t="s">
        <v>56</v>
      </c>
      <c r="E12" s="5" t="s">
        <v>57</v>
      </c>
      <c r="F12" s="5" t="s">
        <v>58</v>
      </c>
      <c r="G12" s="3">
        <f t="array" ref="G12">SUMPRODUCT(--(TRIM($E$2:$E$421)=TRIM(E12)))</f>
        <v>2</v>
      </c>
      <c r="H12" s="3" t="s">
        <v>59</v>
      </c>
      <c r="I12" s="3" t="s">
        <v>60</v>
      </c>
      <c r="J12" s="5"/>
      <c r="K12" s="3"/>
      <c r="L12" s="3"/>
      <c r="M12" s="3"/>
      <c r="N12" s="3"/>
      <c r="O12" s="3"/>
      <c r="P12" s="3"/>
      <c r="Q12" s="3"/>
      <c r="R12" s="3"/>
      <c r="S12" s="3"/>
      <c r="T12" s="3"/>
      <c r="U12" s="3"/>
      <c r="V12" s="3"/>
      <c r="W12" s="3"/>
      <c r="X12" s="3"/>
      <c r="Y12" s="3"/>
      <c r="Z12" s="3"/>
    </row>
    <row r="13" ht="27.0" customHeight="1">
      <c r="A13" s="3" t="s">
        <v>9</v>
      </c>
      <c r="B13" s="4" t="s">
        <v>10</v>
      </c>
      <c r="C13" s="1">
        <v>12.0</v>
      </c>
      <c r="D13" s="3" t="s">
        <v>61</v>
      </c>
      <c r="E13" s="5" t="s">
        <v>62</v>
      </c>
      <c r="F13" s="5" t="s">
        <v>63</v>
      </c>
      <c r="G13" s="3">
        <f t="array" ref="G13">SUMPRODUCT(--(TRIM($E$2:$E$421)=TRIM(E13)))</f>
        <v>5</v>
      </c>
      <c r="H13" s="3" t="s">
        <v>64</v>
      </c>
      <c r="I13" s="3" t="s">
        <v>65</v>
      </c>
      <c r="J13" s="5"/>
      <c r="K13" s="3"/>
      <c r="L13" s="3"/>
      <c r="M13" s="3"/>
      <c r="N13" s="3"/>
      <c r="O13" s="3"/>
      <c r="P13" s="3"/>
      <c r="Q13" s="3"/>
      <c r="R13" s="3"/>
      <c r="S13" s="3"/>
      <c r="T13" s="3"/>
      <c r="U13" s="3"/>
      <c r="V13" s="3"/>
      <c r="W13" s="3"/>
      <c r="X13" s="3"/>
      <c r="Y13" s="3"/>
      <c r="Z13" s="3"/>
    </row>
    <row r="14" ht="27.0" customHeight="1">
      <c r="A14" s="3" t="s">
        <v>9</v>
      </c>
      <c r="B14" s="4" t="s">
        <v>10</v>
      </c>
      <c r="C14" s="1">
        <v>13.0</v>
      </c>
      <c r="D14" s="3" t="s">
        <v>66</v>
      </c>
      <c r="E14" s="5" t="s">
        <v>67</v>
      </c>
      <c r="F14" s="5" t="s">
        <v>68</v>
      </c>
      <c r="G14" s="3">
        <f t="array" ref="G14">SUMPRODUCT(--(TRIM($E$2:$E$421)=TRIM(E14)))</f>
        <v>2</v>
      </c>
      <c r="H14" s="3" t="s">
        <v>69</v>
      </c>
      <c r="I14" s="3" t="s">
        <v>50</v>
      </c>
      <c r="J14" s="5"/>
      <c r="K14" s="3"/>
      <c r="L14" s="3"/>
      <c r="M14" s="3"/>
      <c r="N14" s="3"/>
      <c r="O14" s="3"/>
      <c r="P14" s="3"/>
      <c r="Q14" s="3"/>
      <c r="R14" s="3"/>
      <c r="S14" s="3"/>
      <c r="T14" s="3"/>
      <c r="U14" s="3"/>
      <c r="V14" s="3"/>
      <c r="W14" s="3"/>
      <c r="X14" s="3"/>
      <c r="Y14" s="3"/>
      <c r="Z14" s="3"/>
    </row>
    <row r="15" ht="27.0" customHeight="1">
      <c r="A15" s="3" t="s">
        <v>9</v>
      </c>
      <c r="B15" s="4" t="s">
        <v>10</v>
      </c>
      <c r="C15" s="1">
        <v>14.0</v>
      </c>
      <c r="D15" s="3" t="s">
        <v>70</v>
      </c>
      <c r="E15" s="5" t="s">
        <v>71</v>
      </c>
      <c r="F15" s="5" t="s">
        <v>72</v>
      </c>
      <c r="G15" s="3">
        <f t="array" ref="G15">SUMPRODUCT(--(TRIM($E$2:$E$421)=TRIM(E15)))</f>
        <v>4</v>
      </c>
      <c r="H15" s="3" t="s">
        <v>73</v>
      </c>
      <c r="I15" s="3" t="s">
        <v>74</v>
      </c>
      <c r="J15" s="5"/>
      <c r="K15" s="3"/>
      <c r="L15" s="3"/>
      <c r="M15" s="3"/>
      <c r="N15" s="3"/>
      <c r="O15" s="3"/>
      <c r="P15" s="3"/>
      <c r="Q15" s="3"/>
      <c r="R15" s="3"/>
      <c r="S15" s="3"/>
      <c r="T15" s="3"/>
      <c r="U15" s="3"/>
      <c r="V15" s="3"/>
      <c r="W15" s="3"/>
      <c r="X15" s="3"/>
      <c r="Y15" s="3"/>
      <c r="Z15" s="3"/>
    </row>
    <row r="16" ht="27.0" customHeight="1">
      <c r="A16" s="3" t="s">
        <v>9</v>
      </c>
      <c r="B16" s="4" t="s">
        <v>10</v>
      </c>
      <c r="C16" s="1">
        <v>15.0</v>
      </c>
      <c r="D16" s="3" t="s">
        <v>32</v>
      </c>
      <c r="E16" s="5" t="s">
        <v>75</v>
      </c>
      <c r="F16" s="5" t="s">
        <v>76</v>
      </c>
      <c r="G16" s="3">
        <f t="array" ref="G16">SUMPRODUCT(--(TRIM($E$2:$E$421)=TRIM(E16)))</f>
        <v>5</v>
      </c>
      <c r="H16" s="3" t="s">
        <v>39</v>
      </c>
      <c r="I16" s="3" t="s">
        <v>40</v>
      </c>
      <c r="J16" s="5"/>
      <c r="K16" s="3"/>
      <c r="L16" s="3"/>
      <c r="M16" s="3"/>
      <c r="N16" s="3"/>
      <c r="O16" s="3"/>
      <c r="P16" s="3"/>
      <c r="Q16" s="3"/>
      <c r="R16" s="3"/>
      <c r="S16" s="3"/>
      <c r="T16" s="3"/>
      <c r="U16" s="3"/>
      <c r="V16" s="3"/>
      <c r="W16" s="3"/>
      <c r="X16" s="3"/>
      <c r="Y16" s="3"/>
      <c r="Z16" s="3"/>
    </row>
    <row r="17" ht="27.0" customHeight="1">
      <c r="A17" s="3" t="s">
        <v>9</v>
      </c>
      <c r="B17" s="4" t="s">
        <v>10</v>
      </c>
      <c r="C17" s="1">
        <v>16.0</v>
      </c>
      <c r="D17" s="3" t="s">
        <v>77</v>
      </c>
      <c r="E17" s="5" t="s">
        <v>78</v>
      </c>
      <c r="F17" s="5" t="s">
        <v>79</v>
      </c>
      <c r="G17" s="3">
        <f t="array" ref="G17">SUMPRODUCT(--(TRIM($E$2:$E$421)=TRIM(E17)))</f>
        <v>5</v>
      </c>
      <c r="H17" s="3" t="s">
        <v>22</v>
      </c>
      <c r="I17" s="3" t="s">
        <v>80</v>
      </c>
      <c r="J17" s="5"/>
      <c r="K17" s="3"/>
      <c r="L17" s="3"/>
      <c r="M17" s="3"/>
      <c r="N17" s="3"/>
      <c r="O17" s="3"/>
      <c r="P17" s="3"/>
      <c r="Q17" s="3"/>
      <c r="R17" s="3"/>
      <c r="S17" s="3"/>
      <c r="T17" s="3"/>
      <c r="U17" s="3"/>
      <c r="V17" s="3"/>
      <c r="W17" s="3"/>
      <c r="X17" s="3"/>
      <c r="Y17" s="3"/>
      <c r="Z17" s="3"/>
    </row>
    <row r="18" ht="27.0" customHeight="1">
      <c r="A18" s="3" t="s">
        <v>9</v>
      </c>
      <c r="B18" s="4" t="s">
        <v>10</v>
      </c>
      <c r="C18" s="1">
        <v>17.0</v>
      </c>
      <c r="D18" s="3" t="s">
        <v>32</v>
      </c>
      <c r="E18" s="5" t="s">
        <v>81</v>
      </c>
      <c r="F18" s="5" t="s">
        <v>82</v>
      </c>
      <c r="G18" s="3">
        <f t="array" ref="G18">SUMPRODUCT(--(TRIM($E$2:$E$421)=TRIM(E18)))</f>
        <v>3</v>
      </c>
      <c r="H18" s="3" t="s">
        <v>14</v>
      </c>
      <c r="I18" s="3" t="s">
        <v>83</v>
      </c>
      <c r="J18" s="5"/>
      <c r="K18" s="3"/>
      <c r="L18" s="3"/>
      <c r="M18" s="3"/>
      <c r="N18" s="3"/>
      <c r="O18" s="3"/>
      <c r="P18" s="3"/>
      <c r="Q18" s="3"/>
      <c r="R18" s="3"/>
      <c r="S18" s="3"/>
      <c r="T18" s="3"/>
      <c r="U18" s="3"/>
      <c r="V18" s="3"/>
      <c r="W18" s="3"/>
      <c r="X18" s="3"/>
      <c r="Y18" s="3"/>
      <c r="Z18" s="3"/>
    </row>
    <row r="19" ht="27.0" customHeight="1">
      <c r="A19" s="3" t="s">
        <v>9</v>
      </c>
      <c r="B19" s="4" t="s">
        <v>10</v>
      </c>
      <c r="C19" s="1">
        <v>18.0</v>
      </c>
      <c r="D19" s="3" t="s">
        <v>84</v>
      </c>
      <c r="E19" s="5" t="s">
        <v>85</v>
      </c>
      <c r="F19" s="5" t="s">
        <v>86</v>
      </c>
      <c r="G19" s="3">
        <f t="array" ref="G19">SUMPRODUCT(--(TRIM($E$2:$E$421)=TRIM(E19)))</f>
        <v>5</v>
      </c>
      <c r="H19" s="3" t="s">
        <v>87</v>
      </c>
      <c r="I19" s="3" t="s">
        <v>88</v>
      </c>
      <c r="J19" s="5"/>
      <c r="K19" s="3"/>
      <c r="L19" s="3"/>
      <c r="M19" s="3"/>
      <c r="N19" s="3"/>
      <c r="O19" s="3"/>
      <c r="P19" s="3"/>
      <c r="Q19" s="3"/>
      <c r="R19" s="3"/>
      <c r="S19" s="3"/>
      <c r="T19" s="3"/>
      <c r="U19" s="3"/>
      <c r="V19" s="3"/>
      <c r="W19" s="3"/>
      <c r="X19" s="3"/>
      <c r="Y19" s="3"/>
      <c r="Z19" s="3"/>
    </row>
    <row r="20" ht="27.0" customHeight="1">
      <c r="A20" s="3" t="s">
        <v>9</v>
      </c>
      <c r="B20" s="4" t="s">
        <v>10</v>
      </c>
      <c r="C20" s="1">
        <v>19.0</v>
      </c>
      <c r="D20" s="3" t="s">
        <v>32</v>
      </c>
      <c r="E20" s="3" t="s">
        <v>89</v>
      </c>
      <c r="F20" s="5" t="s">
        <v>90</v>
      </c>
      <c r="G20" s="3">
        <f t="array" ref="G20">SUMPRODUCT(--(TRIM($E$2:$E$421)=TRIM(E20)))</f>
        <v>3</v>
      </c>
      <c r="H20" s="3" t="s">
        <v>91</v>
      </c>
      <c r="I20" s="3" t="s">
        <v>92</v>
      </c>
      <c r="J20" s="3"/>
      <c r="K20" s="3"/>
      <c r="L20" s="3"/>
      <c r="M20" s="3"/>
      <c r="N20" s="3"/>
      <c r="O20" s="3"/>
      <c r="P20" s="3"/>
      <c r="Q20" s="3"/>
      <c r="R20" s="3"/>
      <c r="S20" s="3"/>
      <c r="T20" s="3"/>
      <c r="U20" s="3"/>
      <c r="V20" s="3"/>
      <c r="W20" s="3"/>
      <c r="X20" s="3"/>
      <c r="Y20" s="3"/>
      <c r="Z20" s="3"/>
    </row>
    <row r="21" ht="27.0" customHeight="1">
      <c r="A21" s="3" t="s">
        <v>9</v>
      </c>
      <c r="B21" s="4" t="s">
        <v>10</v>
      </c>
      <c r="C21" s="1">
        <v>20.0</v>
      </c>
      <c r="D21" s="5" t="s">
        <v>93</v>
      </c>
      <c r="E21" s="5" t="s">
        <v>94</v>
      </c>
      <c r="F21" s="5" t="s">
        <v>95</v>
      </c>
      <c r="G21" s="3">
        <f t="array" ref="G21">SUMPRODUCT(--(TRIM($E$2:$E$421)=TRIM(E21)))</f>
        <v>2</v>
      </c>
      <c r="H21" s="3" t="s">
        <v>54</v>
      </c>
      <c r="I21" s="3" t="s">
        <v>55</v>
      </c>
      <c r="J21" s="5"/>
      <c r="K21" s="3"/>
      <c r="L21" s="3"/>
      <c r="M21" s="3"/>
      <c r="N21" s="3"/>
      <c r="O21" s="3"/>
      <c r="P21" s="3"/>
      <c r="Q21" s="3"/>
      <c r="R21" s="3"/>
      <c r="S21" s="3"/>
      <c r="T21" s="3"/>
      <c r="U21" s="3"/>
      <c r="V21" s="3"/>
      <c r="W21" s="3"/>
      <c r="X21" s="3"/>
      <c r="Y21" s="3"/>
      <c r="Z21" s="3"/>
    </row>
    <row r="22" ht="27.0" customHeight="1">
      <c r="A22" s="3" t="s">
        <v>9</v>
      </c>
      <c r="B22" s="4" t="s">
        <v>10</v>
      </c>
      <c r="C22" s="1">
        <v>21.0</v>
      </c>
      <c r="D22" s="3" t="s">
        <v>96</v>
      </c>
      <c r="E22" s="5" t="s">
        <v>97</v>
      </c>
      <c r="F22" s="5" t="s">
        <v>98</v>
      </c>
      <c r="G22" s="3">
        <f t="array" ref="G22">SUMPRODUCT(--(TRIM($E$2:$E$421)=TRIM(E22)))</f>
        <v>6</v>
      </c>
      <c r="H22" s="3" t="s">
        <v>39</v>
      </c>
      <c r="I22" s="3" t="s">
        <v>40</v>
      </c>
      <c r="J22" s="5"/>
      <c r="K22" s="3"/>
      <c r="L22" s="3"/>
      <c r="M22" s="3"/>
      <c r="N22" s="3"/>
      <c r="O22" s="3"/>
      <c r="P22" s="3"/>
      <c r="Q22" s="3"/>
      <c r="R22" s="3"/>
      <c r="S22" s="3"/>
      <c r="T22" s="3"/>
      <c r="U22" s="3"/>
      <c r="V22" s="3"/>
      <c r="W22" s="3"/>
      <c r="X22" s="3"/>
      <c r="Y22" s="3"/>
      <c r="Z22" s="3"/>
    </row>
    <row r="23" ht="27.0" customHeight="1">
      <c r="A23" s="3" t="s">
        <v>9</v>
      </c>
      <c r="B23" s="4" t="s">
        <v>10</v>
      </c>
      <c r="C23" s="1">
        <v>22.0</v>
      </c>
      <c r="D23" s="3" t="s">
        <v>99</v>
      </c>
      <c r="E23" s="5" t="s">
        <v>100</v>
      </c>
      <c r="F23" s="5" t="s">
        <v>101</v>
      </c>
      <c r="G23" s="3">
        <f t="array" ref="G23">SUMPRODUCT(--(TRIM($E$2:$E$421)=TRIM(E23)))</f>
        <v>2</v>
      </c>
      <c r="H23" s="3" t="s">
        <v>54</v>
      </c>
      <c r="I23" s="3" t="s">
        <v>102</v>
      </c>
      <c r="J23" s="5"/>
      <c r="K23" s="3"/>
      <c r="L23" s="3"/>
      <c r="M23" s="3"/>
      <c r="N23" s="3"/>
      <c r="O23" s="3"/>
      <c r="P23" s="3"/>
      <c r="Q23" s="3"/>
      <c r="R23" s="3"/>
      <c r="S23" s="3"/>
      <c r="T23" s="3"/>
      <c r="U23" s="3"/>
      <c r="V23" s="3"/>
      <c r="W23" s="3"/>
      <c r="X23" s="3"/>
      <c r="Y23" s="3"/>
      <c r="Z23" s="3"/>
    </row>
    <row r="24" ht="27.0" customHeight="1">
      <c r="A24" s="3" t="s">
        <v>9</v>
      </c>
      <c r="B24" s="4" t="s">
        <v>10</v>
      </c>
      <c r="C24" s="1">
        <v>23.0</v>
      </c>
      <c r="D24" s="3" t="s">
        <v>32</v>
      </c>
      <c r="E24" s="5" t="s">
        <v>103</v>
      </c>
      <c r="F24" s="5" t="s">
        <v>104</v>
      </c>
      <c r="G24" s="3">
        <f t="array" ref="G24">SUMPRODUCT(--(TRIM($E$2:$E$421)=TRIM(E24)))</f>
        <v>4</v>
      </c>
      <c r="H24" s="3" t="s">
        <v>105</v>
      </c>
      <c r="I24" s="3" t="s">
        <v>106</v>
      </c>
      <c r="J24" s="5"/>
      <c r="K24" s="3"/>
      <c r="L24" s="3"/>
      <c r="M24" s="3"/>
      <c r="N24" s="3"/>
      <c r="O24" s="3"/>
      <c r="P24" s="3"/>
      <c r="Q24" s="3"/>
      <c r="R24" s="3"/>
      <c r="S24" s="3"/>
      <c r="T24" s="3"/>
      <c r="U24" s="3"/>
      <c r="V24" s="3"/>
      <c r="W24" s="3"/>
      <c r="X24" s="3"/>
      <c r="Y24" s="3"/>
      <c r="Z24" s="3"/>
    </row>
    <row r="25" ht="27.0" customHeight="1">
      <c r="A25" s="3" t="s">
        <v>9</v>
      </c>
      <c r="B25" s="4" t="s">
        <v>10</v>
      </c>
      <c r="C25" s="1">
        <v>24.0</v>
      </c>
      <c r="D25" s="3" t="s">
        <v>107</v>
      </c>
      <c r="E25" s="5" t="s">
        <v>108</v>
      </c>
      <c r="F25" s="5" t="s">
        <v>109</v>
      </c>
      <c r="G25" s="3">
        <f t="array" ref="G25">SUMPRODUCT(--(TRIM($E$2:$E$421)=TRIM(E25)))</f>
        <v>7</v>
      </c>
      <c r="H25" s="3" t="s">
        <v>14</v>
      </c>
      <c r="I25" s="3" t="s">
        <v>110</v>
      </c>
      <c r="J25" s="5"/>
      <c r="K25" s="3"/>
      <c r="L25" s="3"/>
      <c r="M25" s="3"/>
      <c r="N25" s="3"/>
      <c r="O25" s="3"/>
      <c r="P25" s="3"/>
      <c r="Q25" s="3"/>
      <c r="R25" s="3"/>
      <c r="S25" s="3"/>
      <c r="T25" s="3"/>
      <c r="U25" s="3"/>
      <c r="V25" s="3"/>
      <c r="W25" s="3"/>
      <c r="X25" s="3"/>
      <c r="Y25" s="3"/>
      <c r="Z25" s="3"/>
    </row>
    <row r="26" ht="27.0" customHeight="1">
      <c r="A26" s="3" t="s">
        <v>9</v>
      </c>
      <c r="B26" s="4" t="s">
        <v>10</v>
      </c>
      <c r="C26" s="1">
        <v>25.0</v>
      </c>
      <c r="D26" s="3" t="s">
        <v>111</v>
      </c>
      <c r="E26" s="5" t="s">
        <v>112</v>
      </c>
      <c r="F26" s="5" t="s">
        <v>113</v>
      </c>
      <c r="G26" s="3">
        <f t="array" ref="G26">SUMPRODUCT(--(TRIM($E$2:$E$421)=TRIM(E26)))</f>
        <v>2</v>
      </c>
      <c r="H26" s="3" t="s">
        <v>114</v>
      </c>
      <c r="I26" s="3" t="s">
        <v>115</v>
      </c>
      <c r="J26" s="5"/>
      <c r="K26" s="3"/>
      <c r="L26" s="3"/>
      <c r="M26" s="3"/>
      <c r="N26" s="3"/>
      <c r="O26" s="3"/>
      <c r="P26" s="3"/>
      <c r="Q26" s="3"/>
      <c r="R26" s="3"/>
      <c r="S26" s="3"/>
      <c r="T26" s="3"/>
      <c r="U26" s="3"/>
      <c r="V26" s="3"/>
      <c r="W26" s="3"/>
      <c r="X26" s="3"/>
      <c r="Y26" s="3"/>
      <c r="Z26" s="3"/>
    </row>
    <row r="27" ht="27.0" customHeight="1">
      <c r="A27" s="3" t="s">
        <v>9</v>
      </c>
      <c r="B27" s="4" t="s">
        <v>10</v>
      </c>
      <c r="C27" s="1">
        <v>26.0</v>
      </c>
      <c r="D27" s="3" t="s">
        <v>32</v>
      </c>
      <c r="E27" s="5" t="s">
        <v>116</v>
      </c>
      <c r="F27" s="5" t="s">
        <v>117</v>
      </c>
      <c r="G27" s="3">
        <f t="array" ref="G27">SUMPRODUCT(--(TRIM($E$2:$E$421)=TRIM(E27)))</f>
        <v>2</v>
      </c>
      <c r="H27" s="3" t="s">
        <v>54</v>
      </c>
      <c r="I27" s="3" t="s">
        <v>102</v>
      </c>
      <c r="J27" s="5"/>
      <c r="K27" s="3"/>
      <c r="L27" s="3"/>
      <c r="M27" s="3"/>
      <c r="N27" s="3"/>
      <c r="O27" s="3"/>
      <c r="P27" s="3"/>
      <c r="Q27" s="3"/>
      <c r="R27" s="3"/>
      <c r="S27" s="3"/>
      <c r="T27" s="3"/>
      <c r="U27" s="3"/>
      <c r="V27" s="3"/>
      <c r="W27" s="3"/>
      <c r="X27" s="3"/>
      <c r="Y27" s="3"/>
      <c r="Z27" s="3"/>
    </row>
    <row r="28" ht="27.0" customHeight="1">
      <c r="A28" s="3" t="s">
        <v>9</v>
      </c>
      <c r="B28" s="4" t="s">
        <v>10</v>
      </c>
      <c r="C28" s="1">
        <v>27.0</v>
      </c>
      <c r="D28" s="3" t="s">
        <v>32</v>
      </c>
      <c r="E28" s="5" t="s">
        <v>118</v>
      </c>
      <c r="F28" s="5" t="s">
        <v>119</v>
      </c>
      <c r="G28" s="3">
        <f t="array" ref="G28">SUMPRODUCT(--(TRIM($E$2:$E$421)=TRIM(E28)))</f>
        <v>2</v>
      </c>
      <c r="H28" s="3" t="s">
        <v>120</v>
      </c>
      <c r="I28" s="3" t="s">
        <v>60</v>
      </c>
      <c r="J28" s="5"/>
      <c r="K28" s="3"/>
      <c r="L28" s="3"/>
      <c r="M28" s="3"/>
      <c r="N28" s="3"/>
      <c r="O28" s="3"/>
      <c r="P28" s="3"/>
      <c r="Q28" s="3"/>
      <c r="R28" s="3"/>
      <c r="S28" s="3"/>
      <c r="T28" s="3"/>
      <c r="U28" s="3"/>
      <c r="V28" s="3"/>
      <c r="W28" s="3"/>
      <c r="X28" s="3"/>
      <c r="Y28" s="3"/>
      <c r="Z28" s="3"/>
    </row>
    <row r="29" ht="27.0" customHeight="1">
      <c r="A29" s="3" t="s">
        <v>9</v>
      </c>
      <c r="B29" s="4" t="s">
        <v>10</v>
      </c>
      <c r="C29" s="1">
        <v>28.0</v>
      </c>
      <c r="D29" s="3" t="s">
        <v>121</v>
      </c>
      <c r="E29" s="5" t="s">
        <v>122</v>
      </c>
      <c r="F29" s="5" t="s">
        <v>123</v>
      </c>
      <c r="G29" s="3">
        <f t="array" ref="G29">SUMPRODUCT(--(TRIM($E$2:$E$421)=TRIM(E29)))</f>
        <v>2</v>
      </c>
      <c r="H29" s="3" t="s">
        <v>124</v>
      </c>
      <c r="I29" s="3" t="s">
        <v>125</v>
      </c>
      <c r="J29" s="5"/>
      <c r="K29" s="3"/>
      <c r="L29" s="3"/>
      <c r="M29" s="3"/>
      <c r="N29" s="3"/>
      <c r="O29" s="3"/>
      <c r="P29" s="3"/>
      <c r="Q29" s="3"/>
      <c r="R29" s="3"/>
      <c r="S29" s="3"/>
      <c r="T29" s="3"/>
      <c r="U29" s="3"/>
      <c r="V29" s="3"/>
      <c r="W29" s="3"/>
      <c r="X29" s="3"/>
      <c r="Y29" s="3"/>
      <c r="Z29" s="3"/>
    </row>
    <row r="30" ht="27.0" customHeight="1">
      <c r="A30" s="3" t="s">
        <v>9</v>
      </c>
      <c r="B30" s="4" t="s">
        <v>10</v>
      </c>
      <c r="C30" s="1">
        <v>29.0</v>
      </c>
      <c r="D30" s="3" t="s">
        <v>32</v>
      </c>
      <c r="E30" s="5" t="s">
        <v>126</v>
      </c>
      <c r="F30" s="5" t="s">
        <v>127</v>
      </c>
      <c r="G30" s="3">
        <f t="array" ref="G30">SUMPRODUCT(--(TRIM($E$2:$E$421)=TRIM(E30)))</f>
        <v>2</v>
      </c>
      <c r="H30" s="3" t="s">
        <v>91</v>
      </c>
      <c r="I30" s="3" t="s">
        <v>92</v>
      </c>
      <c r="J30" s="5"/>
      <c r="K30" s="3"/>
      <c r="L30" s="3"/>
      <c r="M30" s="3"/>
      <c r="N30" s="3"/>
      <c r="O30" s="3"/>
      <c r="P30" s="3"/>
      <c r="Q30" s="3"/>
      <c r="R30" s="3"/>
      <c r="S30" s="3"/>
      <c r="T30" s="3"/>
      <c r="U30" s="3"/>
      <c r="V30" s="3"/>
      <c r="W30" s="3"/>
      <c r="X30" s="3"/>
      <c r="Y30" s="3"/>
      <c r="Z30" s="3"/>
    </row>
    <row r="31" ht="27.0" customHeight="1">
      <c r="A31" s="3" t="s">
        <v>9</v>
      </c>
      <c r="B31" s="4" t="s">
        <v>10</v>
      </c>
      <c r="C31" s="1">
        <v>30.0</v>
      </c>
      <c r="D31" s="3" t="s">
        <v>128</v>
      </c>
      <c r="E31" s="5" t="s">
        <v>129</v>
      </c>
      <c r="F31" s="5" t="s">
        <v>130</v>
      </c>
      <c r="G31" s="3">
        <f t="array" ref="G31">SUMPRODUCT(--(TRIM($E$2:$E$421)=TRIM(E31)))</f>
        <v>2</v>
      </c>
      <c r="H31" s="3" t="s">
        <v>73</v>
      </c>
      <c r="I31" s="3" t="s">
        <v>92</v>
      </c>
      <c r="J31" s="5"/>
      <c r="K31" s="3"/>
      <c r="L31" s="3"/>
      <c r="M31" s="3"/>
      <c r="N31" s="3"/>
      <c r="O31" s="3"/>
      <c r="P31" s="3"/>
      <c r="Q31" s="3"/>
      <c r="R31" s="3"/>
      <c r="S31" s="3"/>
      <c r="T31" s="3"/>
      <c r="U31" s="3"/>
      <c r="V31" s="3"/>
      <c r="W31" s="3"/>
      <c r="X31" s="3"/>
      <c r="Y31" s="3"/>
      <c r="Z31" s="3"/>
    </row>
    <row r="32" ht="27.0" customHeight="1">
      <c r="A32" s="3" t="s">
        <v>9</v>
      </c>
      <c r="B32" s="4" t="s">
        <v>10</v>
      </c>
      <c r="C32" s="1">
        <v>31.0</v>
      </c>
      <c r="D32" s="3" t="s">
        <v>131</v>
      </c>
      <c r="E32" s="5" t="s">
        <v>132</v>
      </c>
      <c r="F32" s="5" t="s">
        <v>133</v>
      </c>
      <c r="G32" s="3">
        <f t="array" ref="G32">SUMPRODUCT(--(TRIM($E$2:$E$421)=TRIM(E32)))</f>
        <v>3</v>
      </c>
      <c r="H32" s="3" t="s">
        <v>39</v>
      </c>
      <c r="I32" s="3" t="s">
        <v>40</v>
      </c>
      <c r="J32" s="5"/>
      <c r="K32" s="3"/>
      <c r="L32" s="3"/>
      <c r="M32" s="3"/>
      <c r="N32" s="3"/>
      <c r="O32" s="3"/>
      <c r="P32" s="3"/>
      <c r="Q32" s="3"/>
      <c r="R32" s="3"/>
      <c r="S32" s="3"/>
      <c r="T32" s="3"/>
      <c r="U32" s="3"/>
      <c r="V32" s="3"/>
      <c r="W32" s="3"/>
      <c r="X32" s="3"/>
      <c r="Y32" s="3"/>
      <c r="Z32" s="3"/>
    </row>
    <row r="33" ht="27.0" customHeight="1">
      <c r="A33" s="3" t="s">
        <v>9</v>
      </c>
      <c r="B33" s="4" t="s">
        <v>10</v>
      </c>
      <c r="C33" s="1">
        <v>32.0</v>
      </c>
      <c r="D33" s="3" t="s">
        <v>134</v>
      </c>
      <c r="E33" s="5" t="s">
        <v>135</v>
      </c>
      <c r="F33" s="5" t="s">
        <v>136</v>
      </c>
      <c r="G33" s="3">
        <f t="array" ref="G33">SUMPRODUCT(--(TRIM($E$2:$E$421)=TRIM(E33)))</f>
        <v>2</v>
      </c>
      <c r="H33" s="3" t="s">
        <v>73</v>
      </c>
      <c r="I33" s="3" t="s">
        <v>137</v>
      </c>
      <c r="J33" s="5"/>
      <c r="K33" s="3"/>
      <c r="L33" s="3"/>
      <c r="M33" s="3"/>
      <c r="N33" s="3"/>
      <c r="O33" s="3"/>
      <c r="P33" s="3"/>
      <c r="Q33" s="3"/>
      <c r="R33" s="3"/>
      <c r="S33" s="3"/>
      <c r="T33" s="3"/>
      <c r="U33" s="3"/>
      <c r="V33" s="3"/>
      <c r="W33" s="3"/>
      <c r="X33" s="3"/>
      <c r="Y33" s="3"/>
      <c r="Z33" s="3"/>
    </row>
    <row r="34" ht="27.0" customHeight="1">
      <c r="A34" s="3" t="s">
        <v>9</v>
      </c>
      <c r="B34" s="4" t="s">
        <v>10</v>
      </c>
      <c r="C34" s="1">
        <v>33.0</v>
      </c>
      <c r="D34" s="3" t="s">
        <v>138</v>
      </c>
      <c r="E34" s="3" t="s">
        <v>139</v>
      </c>
      <c r="F34" s="5" t="s">
        <v>140</v>
      </c>
      <c r="G34" s="3">
        <f t="array" ref="G34">SUMPRODUCT(--(TRIM($E$2:$E$421)=TRIM(E34)))</f>
        <v>3</v>
      </c>
      <c r="H34" s="3" t="s">
        <v>141</v>
      </c>
      <c r="I34" s="3" t="s">
        <v>55</v>
      </c>
      <c r="J34" s="3"/>
      <c r="K34" s="3"/>
      <c r="L34" s="3"/>
      <c r="M34" s="3"/>
      <c r="N34" s="3"/>
      <c r="O34" s="3"/>
      <c r="P34" s="3"/>
      <c r="Q34" s="3"/>
      <c r="R34" s="3"/>
      <c r="S34" s="3"/>
      <c r="T34" s="3"/>
      <c r="U34" s="3"/>
      <c r="V34" s="3"/>
      <c r="W34" s="3"/>
      <c r="X34" s="3"/>
      <c r="Y34" s="3"/>
      <c r="Z34" s="3"/>
    </row>
    <row r="35" ht="27.0" customHeight="1">
      <c r="A35" s="3" t="s">
        <v>9</v>
      </c>
      <c r="B35" s="4" t="s">
        <v>10</v>
      </c>
      <c r="C35" s="1">
        <v>34.0</v>
      </c>
      <c r="D35" s="3" t="s">
        <v>142</v>
      </c>
      <c r="E35" s="5" t="s">
        <v>143</v>
      </c>
      <c r="F35" s="5" t="s">
        <v>144</v>
      </c>
      <c r="G35" s="3">
        <f t="array" ref="G35">SUMPRODUCT(--(TRIM($E$2:$E$421)=TRIM(E35)))</f>
        <v>6</v>
      </c>
      <c r="H35" s="3" t="s">
        <v>145</v>
      </c>
      <c r="I35" s="3" t="s">
        <v>146</v>
      </c>
      <c r="J35" s="5"/>
      <c r="K35" s="3"/>
      <c r="L35" s="3"/>
      <c r="M35" s="3"/>
      <c r="N35" s="3"/>
      <c r="O35" s="3"/>
      <c r="P35" s="3"/>
      <c r="Q35" s="3"/>
      <c r="R35" s="3"/>
      <c r="S35" s="3"/>
      <c r="T35" s="3"/>
      <c r="U35" s="3"/>
      <c r="V35" s="3"/>
      <c r="W35" s="3"/>
      <c r="X35" s="3"/>
      <c r="Y35" s="3"/>
      <c r="Z35" s="3"/>
    </row>
    <row r="36" ht="27.0" customHeight="1">
      <c r="A36" s="3" t="s">
        <v>9</v>
      </c>
      <c r="B36" s="4" t="s">
        <v>10</v>
      </c>
      <c r="C36" s="1">
        <v>35.0</v>
      </c>
      <c r="D36" s="3" t="s">
        <v>147</v>
      </c>
      <c r="E36" s="5" t="s">
        <v>148</v>
      </c>
      <c r="F36" s="5" t="s">
        <v>149</v>
      </c>
      <c r="G36" s="3">
        <f t="array" ref="G36">SUMPRODUCT(--(TRIM($E$2:$E$421)=TRIM(E36)))</f>
        <v>2</v>
      </c>
      <c r="H36" s="3" t="s">
        <v>150</v>
      </c>
      <c r="I36" s="3" t="s">
        <v>151</v>
      </c>
      <c r="J36" s="5"/>
      <c r="K36" s="3"/>
      <c r="L36" s="3"/>
      <c r="M36" s="3"/>
      <c r="N36" s="3"/>
      <c r="O36" s="3"/>
      <c r="P36" s="3"/>
      <c r="Q36" s="3"/>
      <c r="R36" s="3"/>
      <c r="S36" s="3"/>
      <c r="T36" s="3"/>
      <c r="U36" s="3"/>
      <c r="V36" s="3"/>
      <c r="W36" s="3"/>
      <c r="X36" s="3"/>
      <c r="Y36" s="3"/>
      <c r="Z36" s="3"/>
    </row>
    <row r="37" ht="27.0" customHeight="1">
      <c r="A37" s="3" t="s">
        <v>9</v>
      </c>
      <c r="B37" s="4" t="s">
        <v>10</v>
      </c>
      <c r="C37" s="1">
        <v>36.0</v>
      </c>
      <c r="D37" s="5" t="s">
        <v>152</v>
      </c>
      <c r="E37" s="5" t="s">
        <v>153</v>
      </c>
      <c r="F37" s="5" t="s">
        <v>154</v>
      </c>
      <c r="G37" s="3">
        <f t="array" ref="G37">SUMPRODUCT(--(TRIM($E$2:$E$421)=TRIM(E37)))</f>
        <v>5</v>
      </c>
      <c r="H37" s="3" t="s">
        <v>44</v>
      </c>
      <c r="I37" s="3" t="s">
        <v>45</v>
      </c>
      <c r="J37" s="5"/>
      <c r="K37" s="3"/>
      <c r="L37" s="3"/>
      <c r="M37" s="3"/>
      <c r="N37" s="3"/>
      <c r="O37" s="3"/>
      <c r="P37" s="3"/>
      <c r="Q37" s="3"/>
      <c r="R37" s="3"/>
      <c r="S37" s="3"/>
      <c r="T37" s="3"/>
      <c r="U37" s="3"/>
      <c r="V37" s="3"/>
      <c r="W37" s="3"/>
      <c r="X37" s="3"/>
      <c r="Y37" s="3"/>
      <c r="Z37" s="3"/>
    </row>
    <row r="38" ht="27.0" customHeight="1">
      <c r="A38" s="3" t="s">
        <v>9</v>
      </c>
      <c r="B38" s="4" t="s">
        <v>10</v>
      </c>
      <c r="C38" s="1">
        <v>37.0</v>
      </c>
      <c r="D38" s="3" t="s">
        <v>41</v>
      </c>
      <c r="E38" s="5" t="s">
        <v>155</v>
      </c>
      <c r="F38" s="5" t="s">
        <v>156</v>
      </c>
      <c r="G38" s="3">
        <f t="array" ref="G38">SUMPRODUCT(--(TRIM($E$2:$E$421)=TRIM(E38)))</f>
        <v>1</v>
      </c>
      <c r="H38" s="3" t="s">
        <v>44</v>
      </c>
      <c r="I38" s="3" t="s">
        <v>45</v>
      </c>
      <c r="J38" s="5"/>
      <c r="K38" s="3"/>
      <c r="L38" s="3"/>
      <c r="M38" s="3"/>
      <c r="N38" s="3"/>
      <c r="O38" s="3"/>
      <c r="P38" s="3"/>
      <c r="Q38" s="3"/>
      <c r="R38" s="3"/>
      <c r="S38" s="3"/>
      <c r="T38" s="3"/>
      <c r="U38" s="3"/>
      <c r="V38" s="3"/>
      <c r="W38" s="3"/>
      <c r="X38" s="3"/>
      <c r="Y38" s="3"/>
      <c r="Z38" s="3"/>
    </row>
    <row r="39" ht="27.0" customHeight="1">
      <c r="A39" s="3" t="s">
        <v>9</v>
      </c>
      <c r="B39" s="4" t="s">
        <v>10</v>
      </c>
      <c r="C39" s="1">
        <v>38.0</v>
      </c>
      <c r="D39" s="3" t="s">
        <v>157</v>
      </c>
      <c r="E39" s="5" t="s">
        <v>158</v>
      </c>
      <c r="F39" s="5" t="s">
        <v>159</v>
      </c>
      <c r="G39" s="3">
        <f t="array" ref="G39">SUMPRODUCT(--(TRIM($E$2:$E$421)=TRIM(E39)))</f>
        <v>5</v>
      </c>
      <c r="H39" s="3" t="s">
        <v>54</v>
      </c>
      <c r="I39" s="3" t="s">
        <v>55</v>
      </c>
      <c r="J39" s="5"/>
      <c r="K39" s="3"/>
      <c r="L39" s="3"/>
      <c r="M39" s="3"/>
      <c r="N39" s="3"/>
      <c r="O39" s="3"/>
      <c r="P39" s="3"/>
      <c r="Q39" s="3"/>
      <c r="R39" s="3"/>
      <c r="S39" s="3"/>
      <c r="T39" s="3"/>
      <c r="U39" s="3"/>
      <c r="V39" s="3"/>
      <c r="W39" s="3"/>
      <c r="X39" s="3"/>
      <c r="Y39" s="3"/>
      <c r="Z39" s="3"/>
    </row>
    <row r="40" ht="27.0" customHeight="1">
      <c r="A40" s="3" t="s">
        <v>9</v>
      </c>
      <c r="B40" s="4" t="s">
        <v>10</v>
      </c>
      <c r="C40" s="1">
        <v>39.0</v>
      </c>
      <c r="D40" s="3" t="s">
        <v>160</v>
      </c>
      <c r="E40" s="5" t="s">
        <v>161</v>
      </c>
      <c r="F40" s="5" t="s">
        <v>162</v>
      </c>
      <c r="G40" s="3">
        <f t="array" ref="G40">SUMPRODUCT(--(TRIM($E$2:$E$421)=TRIM(E40)))</f>
        <v>4</v>
      </c>
      <c r="H40" s="3" t="s">
        <v>22</v>
      </c>
      <c r="I40" s="3" t="s">
        <v>80</v>
      </c>
      <c r="J40" s="5"/>
      <c r="K40" s="3"/>
      <c r="L40" s="3"/>
      <c r="M40" s="3"/>
      <c r="N40" s="3"/>
      <c r="O40" s="3"/>
      <c r="P40" s="3"/>
      <c r="Q40" s="3"/>
      <c r="R40" s="3"/>
      <c r="S40" s="3"/>
      <c r="T40" s="3"/>
      <c r="U40" s="3"/>
      <c r="V40" s="3"/>
      <c r="W40" s="3"/>
      <c r="X40" s="3"/>
      <c r="Y40" s="3"/>
      <c r="Z40" s="3"/>
    </row>
    <row r="41" ht="27.0" customHeight="1">
      <c r="A41" s="3" t="s">
        <v>9</v>
      </c>
      <c r="B41" s="4" t="s">
        <v>10</v>
      </c>
      <c r="C41" s="1">
        <v>40.0</v>
      </c>
      <c r="D41" s="3" t="s">
        <v>32</v>
      </c>
      <c r="E41" s="5" t="s">
        <v>163</v>
      </c>
      <c r="F41" s="5" t="s">
        <v>164</v>
      </c>
      <c r="G41" s="3">
        <f t="array" ref="G41">SUMPRODUCT(--(TRIM($E$2:$E$421)=TRIM(E41)))</f>
        <v>1</v>
      </c>
      <c r="H41" s="3" t="s">
        <v>87</v>
      </c>
      <c r="I41" s="3" t="s">
        <v>151</v>
      </c>
      <c r="J41" s="5"/>
      <c r="K41" s="3"/>
      <c r="L41" s="3"/>
      <c r="M41" s="3"/>
      <c r="N41" s="3"/>
      <c r="O41" s="3"/>
      <c r="P41" s="3"/>
      <c r="Q41" s="3"/>
      <c r="R41" s="3"/>
      <c r="S41" s="3"/>
      <c r="T41" s="3"/>
      <c r="U41" s="3"/>
      <c r="V41" s="3"/>
      <c r="W41" s="3"/>
      <c r="X41" s="3"/>
      <c r="Y41" s="3"/>
      <c r="Z41" s="3"/>
    </row>
    <row r="42" ht="27.0" customHeight="1">
      <c r="A42" s="3" t="s">
        <v>9</v>
      </c>
      <c r="B42" s="4" t="s">
        <v>165</v>
      </c>
      <c r="C42" s="1">
        <v>1.0</v>
      </c>
      <c r="D42" s="3" t="s">
        <v>11</v>
      </c>
      <c r="E42" s="5" t="s">
        <v>12</v>
      </c>
      <c r="F42" s="5" t="s">
        <v>13</v>
      </c>
      <c r="G42" s="3">
        <f t="array" ref="G42">SUMPRODUCT(--(TRIM($E$2:$E$421)=TRIM(E42)))</f>
        <v>5</v>
      </c>
      <c r="H42" s="3" t="s">
        <v>14</v>
      </c>
      <c r="I42" s="3" t="s">
        <v>15</v>
      </c>
      <c r="J42" s="5"/>
      <c r="K42" s="3"/>
      <c r="L42" s="3"/>
      <c r="M42" s="3"/>
      <c r="N42" s="3"/>
      <c r="O42" s="3"/>
      <c r="P42" s="3"/>
      <c r="Q42" s="3"/>
      <c r="R42" s="3"/>
      <c r="S42" s="3"/>
      <c r="T42" s="3"/>
      <c r="U42" s="3"/>
      <c r="V42" s="3"/>
      <c r="W42" s="3"/>
      <c r="X42" s="3"/>
      <c r="Y42" s="3"/>
      <c r="Z42" s="3"/>
    </row>
    <row r="43" ht="27.0" customHeight="1">
      <c r="A43" s="3" t="s">
        <v>9</v>
      </c>
      <c r="B43" s="4" t="s">
        <v>165</v>
      </c>
      <c r="C43" s="1">
        <v>2.0</v>
      </c>
      <c r="D43" s="3" t="s">
        <v>16</v>
      </c>
      <c r="E43" s="5" t="s">
        <v>17</v>
      </c>
      <c r="F43" s="5" t="s">
        <v>18</v>
      </c>
      <c r="G43" s="3">
        <f t="array" ref="G43">SUMPRODUCT(--(TRIM($E$2:$E$421)=TRIM(E43)))</f>
        <v>6</v>
      </c>
      <c r="H43" s="3" t="s">
        <v>14</v>
      </c>
      <c r="I43" s="3" t="s">
        <v>15</v>
      </c>
      <c r="J43" s="5"/>
      <c r="K43" s="3"/>
      <c r="L43" s="3"/>
      <c r="M43" s="3"/>
      <c r="N43" s="3"/>
      <c r="O43" s="3"/>
      <c r="P43" s="3"/>
      <c r="Q43" s="3"/>
      <c r="R43" s="3"/>
      <c r="S43" s="3"/>
      <c r="T43" s="3"/>
      <c r="U43" s="3"/>
      <c r="V43" s="3"/>
      <c r="W43" s="3"/>
      <c r="X43" s="3"/>
      <c r="Y43" s="3"/>
      <c r="Z43" s="3"/>
    </row>
    <row r="44" ht="27.0" customHeight="1">
      <c r="A44" s="3" t="s">
        <v>9</v>
      </c>
      <c r="B44" s="4" t="s">
        <v>165</v>
      </c>
      <c r="C44" s="1">
        <v>3.0</v>
      </c>
      <c r="D44" s="3" t="s">
        <v>19</v>
      </c>
      <c r="E44" s="5" t="s">
        <v>166</v>
      </c>
      <c r="F44" s="5" t="s">
        <v>21</v>
      </c>
      <c r="G44" s="3">
        <f t="array" ref="G44">SUMPRODUCT(--(TRIM($E$2:$E$421)=TRIM(E44)))</f>
        <v>2</v>
      </c>
      <c r="H44" s="3" t="s">
        <v>22</v>
      </c>
      <c r="I44" s="3" t="s">
        <v>23</v>
      </c>
      <c r="J44" s="5"/>
      <c r="K44" s="3"/>
      <c r="L44" s="3"/>
      <c r="M44" s="3"/>
      <c r="N44" s="3"/>
      <c r="O44" s="3"/>
      <c r="P44" s="3"/>
      <c r="Q44" s="3"/>
      <c r="R44" s="3"/>
      <c r="S44" s="3"/>
      <c r="T44" s="3"/>
      <c r="U44" s="3"/>
      <c r="V44" s="3"/>
      <c r="W44" s="3"/>
      <c r="X44" s="3"/>
      <c r="Y44" s="3"/>
      <c r="Z44" s="3"/>
    </row>
    <row r="45" ht="27.0" customHeight="1">
      <c r="A45" s="3" t="s">
        <v>9</v>
      </c>
      <c r="B45" s="4" t="s">
        <v>165</v>
      </c>
      <c r="C45" s="1">
        <v>4.0</v>
      </c>
      <c r="D45" s="3" t="s">
        <v>24</v>
      </c>
      <c r="E45" s="5" t="s">
        <v>25</v>
      </c>
      <c r="F45" s="5" t="s">
        <v>26</v>
      </c>
      <c r="G45" s="3">
        <f t="array" ref="G45">SUMPRODUCT(--(TRIM($E$2:$E$421)=TRIM(E45)))</f>
        <v>3</v>
      </c>
      <c r="H45" s="3" t="s">
        <v>27</v>
      </c>
      <c r="I45" s="3" t="s">
        <v>28</v>
      </c>
      <c r="J45" s="5"/>
      <c r="K45" s="3"/>
      <c r="L45" s="3"/>
      <c r="M45" s="3"/>
      <c r="N45" s="3"/>
      <c r="O45" s="3"/>
      <c r="P45" s="3"/>
      <c r="Q45" s="3"/>
      <c r="R45" s="3"/>
      <c r="S45" s="3"/>
      <c r="T45" s="3"/>
      <c r="U45" s="3"/>
      <c r="V45" s="3"/>
      <c r="W45" s="3"/>
      <c r="X45" s="3"/>
      <c r="Y45" s="3"/>
      <c r="Z45" s="3"/>
    </row>
    <row r="46" ht="27.0" customHeight="1">
      <c r="A46" s="3" t="s">
        <v>9</v>
      </c>
      <c r="B46" s="4" t="s">
        <v>165</v>
      </c>
      <c r="C46" s="1">
        <v>5.0</v>
      </c>
      <c r="D46" s="3" t="s">
        <v>29</v>
      </c>
      <c r="E46" s="5" t="s">
        <v>30</v>
      </c>
      <c r="F46" s="5" t="s">
        <v>31</v>
      </c>
      <c r="G46" s="3">
        <f t="array" ref="G46">SUMPRODUCT(--(TRIM($E$2:$E$421)=TRIM(E46)))</f>
        <v>5</v>
      </c>
      <c r="H46" s="3" t="s">
        <v>27</v>
      </c>
      <c r="I46" s="3" t="s">
        <v>28</v>
      </c>
      <c r="J46" s="5"/>
      <c r="K46" s="3"/>
      <c r="L46" s="3"/>
      <c r="M46" s="3"/>
      <c r="N46" s="3"/>
      <c r="O46" s="3"/>
      <c r="P46" s="3"/>
      <c r="Q46" s="3"/>
      <c r="R46" s="3"/>
      <c r="S46" s="3"/>
      <c r="T46" s="3"/>
      <c r="U46" s="3"/>
      <c r="V46" s="3"/>
      <c r="W46" s="3"/>
      <c r="X46" s="3"/>
      <c r="Y46" s="3"/>
      <c r="Z46" s="3"/>
    </row>
    <row r="47" ht="27.0" customHeight="1">
      <c r="A47" s="3" t="s">
        <v>9</v>
      </c>
      <c r="B47" s="4" t="s">
        <v>165</v>
      </c>
      <c r="C47" s="1">
        <v>6.0</v>
      </c>
      <c r="D47" s="3" t="s">
        <v>32</v>
      </c>
      <c r="E47" s="5" t="s">
        <v>33</v>
      </c>
      <c r="F47" s="5" t="s">
        <v>34</v>
      </c>
      <c r="G47" s="3">
        <f t="array" ref="G47">SUMPRODUCT(--(TRIM($E$2:$E$421)=TRIM(E47)))</f>
        <v>2</v>
      </c>
      <c r="H47" s="3" t="s">
        <v>35</v>
      </c>
      <c r="I47" s="3" t="s">
        <v>36</v>
      </c>
      <c r="J47" s="5"/>
      <c r="K47" s="3"/>
      <c r="L47" s="3"/>
      <c r="M47" s="3"/>
      <c r="N47" s="3"/>
      <c r="O47" s="3"/>
      <c r="P47" s="3"/>
      <c r="Q47" s="3"/>
      <c r="R47" s="3"/>
      <c r="S47" s="3"/>
      <c r="T47" s="3"/>
      <c r="U47" s="3"/>
      <c r="V47" s="3"/>
      <c r="W47" s="3"/>
      <c r="X47" s="3"/>
      <c r="Y47" s="3"/>
      <c r="Z47" s="3"/>
    </row>
    <row r="48" ht="27.0" customHeight="1">
      <c r="A48" s="3" t="s">
        <v>9</v>
      </c>
      <c r="B48" s="4" t="s">
        <v>165</v>
      </c>
      <c r="C48" s="1">
        <v>7.0</v>
      </c>
      <c r="D48" s="3" t="s">
        <v>32</v>
      </c>
      <c r="E48" s="5" t="s">
        <v>37</v>
      </c>
      <c r="F48" s="5" t="s">
        <v>38</v>
      </c>
      <c r="G48" s="3">
        <f t="array" ref="G48">SUMPRODUCT(--(TRIM($E$2:$E$421)=TRIM(E48)))</f>
        <v>3</v>
      </c>
      <c r="H48" s="3" t="s">
        <v>39</v>
      </c>
      <c r="I48" s="3" t="s">
        <v>40</v>
      </c>
      <c r="J48" s="5"/>
      <c r="K48" s="3"/>
      <c r="L48" s="3"/>
      <c r="M48" s="3"/>
      <c r="N48" s="3"/>
      <c r="O48" s="3"/>
      <c r="P48" s="3"/>
      <c r="Q48" s="3"/>
      <c r="R48" s="3"/>
      <c r="S48" s="3"/>
      <c r="T48" s="3"/>
      <c r="U48" s="3"/>
      <c r="V48" s="3"/>
      <c r="W48" s="3"/>
      <c r="X48" s="3"/>
      <c r="Y48" s="3"/>
      <c r="Z48" s="3"/>
    </row>
    <row r="49" ht="27.0" customHeight="1">
      <c r="A49" s="3" t="s">
        <v>9</v>
      </c>
      <c r="B49" s="4" t="s">
        <v>165</v>
      </c>
      <c r="C49" s="1">
        <v>8.0</v>
      </c>
      <c r="D49" s="3" t="s">
        <v>41</v>
      </c>
      <c r="E49" s="5" t="s">
        <v>42</v>
      </c>
      <c r="F49" s="5" t="s">
        <v>43</v>
      </c>
      <c r="G49" s="3">
        <f t="array" ref="G49">SUMPRODUCT(--(TRIM($E$2:$E$421)=TRIM(E49)))</f>
        <v>5</v>
      </c>
      <c r="H49" s="3" t="s">
        <v>44</v>
      </c>
      <c r="I49" s="3" t="s">
        <v>45</v>
      </c>
      <c r="J49" s="5"/>
      <c r="K49" s="3"/>
      <c r="L49" s="3"/>
      <c r="M49" s="3"/>
      <c r="N49" s="3"/>
      <c r="O49" s="3"/>
      <c r="P49" s="3"/>
      <c r="Q49" s="3"/>
      <c r="R49" s="3"/>
      <c r="S49" s="3"/>
      <c r="T49" s="3"/>
      <c r="U49" s="3"/>
      <c r="V49" s="3"/>
      <c r="W49" s="3"/>
      <c r="X49" s="3"/>
      <c r="Y49" s="3"/>
      <c r="Z49" s="3"/>
    </row>
    <row r="50" ht="27.0" customHeight="1">
      <c r="A50" s="3" t="s">
        <v>9</v>
      </c>
      <c r="B50" s="4" t="s">
        <v>165</v>
      </c>
      <c r="C50" s="1">
        <v>9.0</v>
      </c>
      <c r="D50" s="3" t="s">
        <v>46</v>
      </c>
      <c r="E50" s="5" t="s">
        <v>47</v>
      </c>
      <c r="F50" s="5" t="s">
        <v>48</v>
      </c>
      <c r="G50" s="3">
        <f t="array" ref="G50">SUMPRODUCT(--(TRIM($E$2:$E$421)=TRIM(E50)))</f>
        <v>6</v>
      </c>
      <c r="H50" s="3" t="s">
        <v>49</v>
      </c>
      <c r="I50" s="3" t="s">
        <v>50</v>
      </c>
      <c r="J50" s="5"/>
      <c r="K50" s="3"/>
      <c r="L50" s="3"/>
      <c r="M50" s="3"/>
      <c r="N50" s="3"/>
      <c r="O50" s="3"/>
      <c r="P50" s="3"/>
      <c r="Q50" s="3"/>
      <c r="R50" s="3"/>
      <c r="S50" s="3"/>
      <c r="T50" s="3"/>
      <c r="U50" s="3"/>
      <c r="V50" s="3"/>
      <c r="W50" s="3"/>
      <c r="X50" s="3"/>
      <c r="Y50" s="3"/>
      <c r="Z50" s="3"/>
    </row>
    <row r="51" ht="27.0" customHeight="1">
      <c r="A51" s="3" t="s">
        <v>9</v>
      </c>
      <c r="B51" s="4" t="s">
        <v>165</v>
      </c>
      <c r="C51" s="1">
        <v>10.0</v>
      </c>
      <c r="D51" s="3" t="s">
        <v>51</v>
      </c>
      <c r="E51" s="5" t="s">
        <v>52</v>
      </c>
      <c r="F51" s="5" t="s">
        <v>53</v>
      </c>
      <c r="G51" s="3">
        <f t="array" ref="G51">SUMPRODUCT(--(TRIM($E$2:$E$421)=TRIM(E51)))</f>
        <v>3</v>
      </c>
      <c r="H51" s="3" t="s">
        <v>54</v>
      </c>
      <c r="I51" s="3" t="s">
        <v>55</v>
      </c>
      <c r="J51" s="5"/>
      <c r="K51" s="3"/>
      <c r="L51" s="3"/>
      <c r="M51" s="3"/>
      <c r="N51" s="3"/>
      <c r="O51" s="3"/>
      <c r="P51" s="3"/>
      <c r="Q51" s="3"/>
      <c r="R51" s="3"/>
      <c r="S51" s="3"/>
      <c r="T51" s="3"/>
      <c r="U51" s="3"/>
      <c r="V51" s="3"/>
      <c r="W51" s="3"/>
      <c r="X51" s="3"/>
      <c r="Y51" s="3"/>
      <c r="Z51" s="3"/>
    </row>
    <row r="52" ht="27.0" customHeight="1">
      <c r="A52" s="3" t="s">
        <v>9</v>
      </c>
      <c r="B52" s="4" t="s">
        <v>165</v>
      </c>
      <c r="C52" s="1">
        <v>11.0</v>
      </c>
      <c r="D52" s="3" t="s">
        <v>56</v>
      </c>
      <c r="E52" s="5" t="s">
        <v>57</v>
      </c>
      <c r="F52" s="5" t="s">
        <v>58</v>
      </c>
      <c r="G52" s="3">
        <f t="array" ref="G52">SUMPRODUCT(--(TRIM($E$2:$E$421)=TRIM(E52)))</f>
        <v>2</v>
      </c>
      <c r="H52" s="3" t="s">
        <v>59</v>
      </c>
      <c r="I52" s="3" t="s">
        <v>60</v>
      </c>
      <c r="J52" s="5"/>
      <c r="K52" s="3"/>
      <c r="L52" s="3"/>
      <c r="M52" s="3"/>
      <c r="N52" s="3"/>
      <c r="O52" s="3"/>
      <c r="P52" s="3"/>
      <c r="Q52" s="3"/>
      <c r="R52" s="3"/>
      <c r="S52" s="3"/>
      <c r="T52" s="3"/>
      <c r="U52" s="3"/>
      <c r="V52" s="3"/>
      <c r="W52" s="3"/>
      <c r="X52" s="3"/>
      <c r="Y52" s="3"/>
      <c r="Z52" s="3"/>
    </row>
    <row r="53" ht="27.0" customHeight="1">
      <c r="A53" s="3" t="s">
        <v>9</v>
      </c>
      <c r="B53" s="4" t="s">
        <v>165</v>
      </c>
      <c r="C53" s="1">
        <v>12.0</v>
      </c>
      <c r="D53" s="3" t="s">
        <v>167</v>
      </c>
      <c r="E53" s="5" t="s">
        <v>168</v>
      </c>
      <c r="F53" s="5" t="s">
        <v>169</v>
      </c>
      <c r="G53" s="3">
        <f t="array" ref="G53">SUMPRODUCT(--(TRIM($E$2:$E$421)=TRIM(E53)))</f>
        <v>1</v>
      </c>
      <c r="H53" s="3" t="s">
        <v>170</v>
      </c>
      <c r="I53" s="3" t="s">
        <v>171</v>
      </c>
      <c r="J53" s="5"/>
      <c r="K53" s="3"/>
      <c r="L53" s="3"/>
      <c r="M53" s="3"/>
      <c r="N53" s="3"/>
      <c r="O53" s="3"/>
      <c r="P53" s="3"/>
      <c r="Q53" s="3"/>
      <c r="R53" s="3"/>
      <c r="S53" s="3"/>
      <c r="T53" s="3"/>
      <c r="U53" s="3"/>
      <c r="V53" s="3"/>
      <c r="W53" s="3"/>
      <c r="X53" s="3"/>
      <c r="Y53" s="3"/>
      <c r="Z53" s="3"/>
    </row>
    <row r="54" ht="27.0" customHeight="1">
      <c r="A54" s="3" t="s">
        <v>9</v>
      </c>
      <c r="B54" s="4" t="s">
        <v>165</v>
      </c>
      <c r="C54" s="1">
        <v>13.0</v>
      </c>
      <c r="D54" s="3" t="s">
        <v>66</v>
      </c>
      <c r="E54" s="5" t="s">
        <v>67</v>
      </c>
      <c r="F54" s="5" t="s">
        <v>68</v>
      </c>
      <c r="G54" s="3">
        <f t="array" ref="G54">SUMPRODUCT(--(TRIM($E$2:$E$421)=TRIM(E54)))</f>
        <v>2</v>
      </c>
      <c r="H54" s="3" t="s">
        <v>69</v>
      </c>
      <c r="I54" s="3" t="s">
        <v>50</v>
      </c>
      <c r="J54" s="5"/>
      <c r="K54" s="3"/>
      <c r="L54" s="3"/>
      <c r="M54" s="3"/>
      <c r="N54" s="3"/>
      <c r="O54" s="3"/>
      <c r="P54" s="3"/>
      <c r="Q54" s="3"/>
      <c r="R54" s="3"/>
      <c r="S54" s="3"/>
      <c r="T54" s="3"/>
      <c r="U54" s="3"/>
      <c r="V54" s="3"/>
      <c r="W54" s="3"/>
      <c r="X54" s="3"/>
      <c r="Y54" s="3"/>
      <c r="Z54" s="3"/>
    </row>
    <row r="55" ht="27.0" customHeight="1">
      <c r="A55" s="3" t="s">
        <v>9</v>
      </c>
      <c r="B55" s="4" t="s">
        <v>165</v>
      </c>
      <c r="C55" s="1">
        <v>14.0</v>
      </c>
      <c r="D55" s="3" t="s">
        <v>70</v>
      </c>
      <c r="E55" s="5" t="s">
        <v>71</v>
      </c>
      <c r="F55" s="5" t="s">
        <v>72</v>
      </c>
      <c r="G55" s="3">
        <f t="array" ref="G55">SUMPRODUCT(--(TRIM($E$2:$E$421)=TRIM(E55)))</f>
        <v>4</v>
      </c>
      <c r="H55" s="3" t="s">
        <v>73</v>
      </c>
      <c r="I55" s="3" t="s">
        <v>74</v>
      </c>
      <c r="J55" s="5"/>
      <c r="K55" s="3"/>
      <c r="L55" s="3"/>
      <c r="M55" s="3"/>
      <c r="N55" s="3"/>
      <c r="O55" s="3"/>
      <c r="P55" s="3"/>
      <c r="Q55" s="3"/>
      <c r="R55" s="3"/>
      <c r="S55" s="3"/>
      <c r="T55" s="3"/>
      <c r="U55" s="3"/>
      <c r="V55" s="3"/>
      <c r="W55" s="3"/>
      <c r="X55" s="3"/>
      <c r="Y55" s="3"/>
      <c r="Z55" s="3"/>
    </row>
    <row r="56" ht="27.0" customHeight="1">
      <c r="A56" s="3" t="s">
        <v>9</v>
      </c>
      <c r="B56" s="4" t="s">
        <v>165</v>
      </c>
      <c r="C56" s="1">
        <v>15.0</v>
      </c>
      <c r="D56" s="3" t="s">
        <v>32</v>
      </c>
      <c r="E56" s="5" t="s">
        <v>75</v>
      </c>
      <c r="F56" s="5" t="s">
        <v>76</v>
      </c>
      <c r="G56" s="3">
        <f t="array" ref="G56">SUMPRODUCT(--(TRIM($E$2:$E$421)=TRIM(E56)))</f>
        <v>5</v>
      </c>
      <c r="H56" s="3" t="s">
        <v>39</v>
      </c>
      <c r="I56" s="3" t="s">
        <v>40</v>
      </c>
      <c r="J56" s="5"/>
      <c r="K56" s="3"/>
      <c r="L56" s="3"/>
      <c r="M56" s="3"/>
      <c r="N56" s="3"/>
      <c r="O56" s="3"/>
      <c r="P56" s="3"/>
      <c r="Q56" s="3"/>
      <c r="R56" s="3"/>
      <c r="S56" s="3"/>
      <c r="T56" s="3"/>
      <c r="U56" s="3"/>
      <c r="V56" s="3"/>
      <c r="W56" s="3"/>
      <c r="X56" s="3"/>
      <c r="Y56" s="3"/>
      <c r="Z56" s="3"/>
    </row>
    <row r="57" ht="27.0" customHeight="1">
      <c r="A57" s="3" t="s">
        <v>9</v>
      </c>
      <c r="B57" s="4" t="s">
        <v>165</v>
      </c>
      <c r="C57" s="1">
        <v>16.0</v>
      </c>
      <c r="D57" s="3" t="s">
        <v>77</v>
      </c>
      <c r="E57" s="5" t="s">
        <v>78</v>
      </c>
      <c r="F57" s="5" t="s">
        <v>79</v>
      </c>
      <c r="G57" s="3">
        <f t="array" ref="G57">SUMPRODUCT(--(TRIM($E$2:$E$421)=TRIM(E57)))</f>
        <v>5</v>
      </c>
      <c r="H57" s="3" t="s">
        <v>22</v>
      </c>
      <c r="I57" s="3" t="s">
        <v>80</v>
      </c>
      <c r="J57" s="5"/>
      <c r="K57" s="3"/>
      <c r="L57" s="3"/>
      <c r="M57" s="3"/>
      <c r="N57" s="3"/>
      <c r="O57" s="3"/>
      <c r="P57" s="3"/>
      <c r="Q57" s="3"/>
      <c r="R57" s="3"/>
      <c r="S57" s="3"/>
      <c r="T57" s="3"/>
      <c r="U57" s="3"/>
      <c r="V57" s="3"/>
      <c r="W57" s="3"/>
      <c r="X57" s="3"/>
      <c r="Y57" s="3"/>
      <c r="Z57" s="3"/>
    </row>
    <row r="58" ht="27.0" customHeight="1">
      <c r="A58" s="3" t="s">
        <v>9</v>
      </c>
      <c r="B58" s="4" t="s">
        <v>165</v>
      </c>
      <c r="C58" s="1">
        <v>17.0</v>
      </c>
      <c r="D58" s="3" t="s">
        <v>32</v>
      </c>
      <c r="E58" s="5" t="s">
        <v>81</v>
      </c>
      <c r="F58" s="5" t="s">
        <v>82</v>
      </c>
      <c r="G58" s="3">
        <f t="array" ref="G58">SUMPRODUCT(--(TRIM($E$2:$E$421)=TRIM(E58)))</f>
        <v>3</v>
      </c>
      <c r="H58" s="3" t="s">
        <v>14</v>
      </c>
      <c r="I58" s="3" t="s">
        <v>83</v>
      </c>
      <c r="J58" s="5"/>
      <c r="K58" s="3"/>
      <c r="L58" s="3"/>
      <c r="M58" s="3"/>
      <c r="N58" s="3"/>
      <c r="O58" s="3"/>
      <c r="P58" s="3"/>
      <c r="Q58" s="3"/>
      <c r="R58" s="3"/>
      <c r="S58" s="3"/>
      <c r="T58" s="3"/>
      <c r="U58" s="3"/>
      <c r="V58" s="3"/>
      <c r="W58" s="3"/>
      <c r="X58" s="3"/>
      <c r="Y58" s="3"/>
      <c r="Z58" s="3"/>
    </row>
    <row r="59" ht="27.0" customHeight="1">
      <c r="A59" s="3" t="s">
        <v>9</v>
      </c>
      <c r="B59" s="4" t="s">
        <v>165</v>
      </c>
      <c r="C59" s="1">
        <v>18.0</v>
      </c>
      <c r="D59" s="3" t="s">
        <v>84</v>
      </c>
      <c r="E59" s="5" t="s">
        <v>85</v>
      </c>
      <c r="F59" s="5" t="s">
        <v>86</v>
      </c>
      <c r="G59" s="3">
        <f t="array" ref="G59">SUMPRODUCT(--(TRIM($E$2:$E$421)=TRIM(E59)))</f>
        <v>5</v>
      </c>
      <c r="H59" s="3" t="s">
        <v>87</v>
      </c>
      <c r="I59" s="3" t="s">
        <v>88</v>
      </c>
      <c r="J59" s="5"/>
      <c r="K59" s="3"/>
      <c r="L59" s="3"/>
      <c r="M59" s="3"/>
      <c r="N59" s="3"/>
      <c r="O59" s="3"/>
      <c r="P59" s="3"/>
      <c r="Q59" s="3"/>
      <c r="R59" s="3"/>
      <c r="S59" s="3"/>
      <c r="T59" s="3"/>
      <c r="U59" s="3"/>
      <c r="V59" s="3"/>
      <c r="W59" s="3"/>
      <c r="X59" s="3"/>
      <c r="Y59" s="3"/>
      <c r="Z59" s="3"/>
    </row>
    <row r="60" ht="27.0" customHeight="1">
      <c r="A60" s="3" t="s">
        <v>9</v>
      </c>
      <c r="B60" s="4" t="s">
        <v>165</v>
      </c>
      <c r="C60" s="1">
        <v>19.0</v>
      </c>
      <c r="D60" s="3" t="s">
        <v>32</v>
      </c>
      <c r="E60" s="3" t="s">
        <v>89</v>
      </c>
      <c r="F60" s="5" t="s">
        <v>90</v>
      </c>
      <c r="G60" s="3">
        <f t="array" ref="G60">SUMPRODUCT(--(TRIM($E$2:$E$421)=TRIM(E60)))</f>
        <v>3</v>
      </c>
      <c r="H60" s="3" t="s">
        <v>91</v>
      </c>
      <c r="I60" s="3" t="s">
        <v>92</v>
      </c>
      <c r="J60" s="3"/>
      <c r="K60" s="3"/>
      <c r="L60" s="3"/>
      <c r="M60" s="3"/>
      <c r="N60" s="3"/>
      <c r="O60" s="3"/>
      <c r="P60" s="3"/>
      <c r="Q60" s="3"/>
      <c r="R60" s="3"/>
      <c r="S60" s="3"/>
      <c r="T60" s="3"/>
      <c r="U60" s="3"/>
      <c r="V60" s="3"/>
      <c r="W60" s="3"/>
      <c r="X60" s="3"/>
      <c r="Y60" s="3"/>
      <c r="Z60" s="3"/>
    </row>
    <row r="61" ht="27.0" customHeight="1">
      <c r="A61" s="3" t="s">
        <v>9</v>
      </c>
      <c r="B61" s="4" t="s">
        <v>165</v>
      </c>
      <c r="C61" s="1">
        <v>20.0</v>
      </c>
      <c r="D61" s="5" t="s">
        <v>93</v>
      </c>
      <c r="E61" s="5" t="s">
        <v>94</v>
      </c>
      <c r="F61" s="5" t="s">
        <v>172</v>
      </c>
      <c r="G61" s="3">
        <f t="array" ref="G61">SUMPRODUCT(--(TRIM($E$2:$E$421)=TRIM(E61)))</f>
        <v>2</v>
      </c>
      <c r="H61" s="3" t="s">
        <v>54</v>
      </c>
      <c r="I61" s="3" t="s">
        <v>55</v>
      </c>
      <c r="J61" s="5"/>
      <c r="K61" s="3"/>
      <c r="L61" s="3"/>
      <c r="M61" s="3"/>
      <c r="N61" s="3"/>
      <c r="O61" s="3"/>
      <c r="P61" s="3"/>
      <c r="Q61" s="3"/>
      <c r="R61" s="3"/>
      <c r="S61" s="3"/>
      <c r="T61" s="3"/>
      <c r="U61" s="3"/>
      <c r="V61" s="3"/>
      <c r="W61" s="3"/>
      <c r="X61" s="3"/>
      <c r="Y61" s="3"/>
      <c r="Z61" s="3"/>
    </row>
    <row r="62" ht="27.0" customHeight="1">
      <c r="A62" s="3" t="s">
        <v>9</v>
      </c>
      <c r="B62" s="4" t="s">
        <v>165</v>
      </c>
      <c r="C62" s="1">
        <v>21.0</v>
      </c>
      <c r="D62" s="3" t="s">
        <v>96</v>
      </c>
      <c r="E62" s="5" t="s">
        <v>97</v>
      </c>
      <c r="F62" s="5" t="s">
        <v>98</v>
      </c>
      <c r="G62" s="3">
        <f t="array" ref="G62">SUMPRODUCT(--(TRIM($E$2:$E$421)=TRIM(E62)))</f>
        <v>6</v>
      </c>
      <c r="H62" s="3" t="s">
        <v>39</v>
      </c>
      <c r="I62" s="3" t="s">
        <v>40</v>
      </c>
      <c r="J62" s="5"/>
      <c r="K62" s="3"/>
      <c r="L62" s="3"/>
      <c r="M62" s="3"/>
      <c r="N62" s="3"/>
      <c r="O62" s="3"/>
      <c r="P62" s="3"/>
      <c r="Q62" s="3"/>
      <c r="R62" s="3"/>
      <c r="S62" s="3"/>
      <c r="T62" s="3"/>
      <c r="U62" s="3"/>
      <c r="V62" s="3"/>
      <c r="W62" s="3"/>
      <c r="X62" s="3"/>
      <c r="Y62" s="3"/>
      <c r="Z62" s="3"/>
    </row>
    <row r="63" ht="27.0" customHeight="1">
      <c r="A63" s="3" t="s">
        <v>9</v>
      </c>
      <c r="B63" s="4" t="s">
        <v>165</v>
      </c>
      <c r="C63" s="1">
        <v>22.0</v>
      </c>
      <c r="D63" s="3" t="s">
        <v>99</v>
      </c>
      <c r="E63" s="5" t="s">
        <v>100</v>
      </c>
      <c r="F63" s="5" t="s">
        <v>101</v>
      </c>
      <c r="G63" s="3">
        <f t="array" ref="G63">SUMPRODUCT(--(TRIM($E$2:$E$421)=TRIM(E63)))</f>
        <v>2</v>
      </c>
      <c r="H63" s="3" t="s">
        <v>54</v>
      </c>
      <c r="I63" s="3" t="s">
        <v>102</v>
      </c>
      <c r="J63" s="5"/>
      <c r="K63" s="3"/>
      <c r="L63" s="3"/>
      <c r="M63" s="3"/>
      <c r="N63" s="3"/>
      <c r="O63" s="3"/>
      <c r="P63" s="3"/>
      <c r="Q63" s="3"/>
      <c r="R63" s="3"/>
      <c r="S63" s="3"/>
      <c r="T63" s="3"/>
      <c r="U63" s="3"/>
      <c r="V63" s="3"/>
      <c r="W63" s="3"/>
      <c r="X63" s="3"/>
      <c r="Y63" s="3"/>
      <c r="Z63" s="3"/>
    </row>
    <row r="64" ht="27.0" customHeight="1">
      <c r="A64" s="3" t="s">
        <v>9</v>
      </c>
      <c r="B64" s="4" t="s">
        <v>165</v>
      </c>
      <c r="C64" s="1">
        <v>23.0</v>
      </c>
      <c r="D64" s="3" t="s">
        <v>32</v>
      </c>
      <c r="E64" s="5" t="s">
        <v>103</v>
      </c>
      <c r="F64" s="5" t="s">
        <v>104</v>
      </c>
      <c r="G64" s="3">
        <f t="array" ref="G64">SUMPRODUCT(--(TRIM($E$2:$E$421)=TRIM(E64)))</f>
        <v>4</v>
      </c>
      <c r="H64" s="3" t="s">
        <v>105</v>
      </c>
      <c r="I64" s="3" t="s">
        <v>106</v>
      </c>
      <c r="J64" s="5"/>
      <c r="K64" s="3"/>
      <c r="L64" s="3"/>
      <c r="M64" s="3"/>
      <c r="N64" s="3"/>
      <c r="O64" s="3"/>
      <c r="P64" s="3"/>
      <c r="Q64" s="3"/>
      <c r="R64" s="3"/>
      <c r="S64" s="3"/>
      <c r="T64" s="3"/>
      <c r="U64" s="3"/>
      <c r="V64" s="3"/>
      <c r="W64" s="3"/>
      <c r="X64" s="3"/>
      <c r="Y64" s="3"/>
      <c r="Z64" s="3"/>
    </row>
    <row r="65" ht="27.0" customHeight="1">
      <c r="A65" s="3" t="s">
        <v>9</v>
      </c>
      <c r="B65" s="4" t="s">
        <v>165</v>
      </c>
      <c r="C65" s="1">
        <v>24.0</v>
      </c>
      <c r="D65" s="3" t="s">
        <v>107</v>
      </c>
      <c r="E65" s="5" t="s">
        <v>108</v>
      </c>
      <c r="F65" s="5" t="s">
        <v>109</v>
      </c>
      <c r="G65" s="3">
        <f t="array" ref="G65">SUMPRODUCT(--(TRIM($E$2:$E$421)=TRIM(E65)))</f>
        <v>7</v>
      </c>
      <c r="H65" s="3" t="s">
        <v>14</v>
      </c>
      <c r="I65" s="3" t="s">
        <v>110</v>
      </c>
      <c r="J65" s="5"/>
      <c r="K65" s="3"/>
      <c r="L65" s="3"/>
      <c r="M65" s="3"/>
      <c r="N65" s="3"/>
      <c r="O65" s="3"/>
      <c r="P65" s="3"/>
      <c r="Q65" s="3"/>
      <c r="R65" s="3"/>
      <c r="S65" s="3"/>
      <c r="T65" s="3"/>
      <c r="U65" s="3"/>
      <c r="V65" s="3"/>
      <c r="W65" s="3"/>
      <c r="X65" s="3"/>
      <c r="Y65" s="3"/>
      <c r="Z65" s="3"/>
    </row>
    <row r="66" ht="27.0" customHeight="1">
      <c r="A66" s="3" t="s">
        <v>9</v>
      </c>
      <c r="B66" s="4" t="s">
        <v>165</v>
      </c>
      <c r="C66" s="1">
        <v>25.0</v>
      </c>
      <c r="D66" s="3" t="s">
        <v>111</v>
      </c>
      <c r="E66" s="5" t="s">
        <v>112</v>
      </c>
      <c r="F66" s="5" t="s">
        <v>113</v>
      </c>
      <c r="G66" s="3">
        <f t="array" ref="G66">SUMPRODUCT(--(TRIM($E$2:$E$421)=TRIM(E66)))</f>
        <v>2</v>
      </c>
      <c r="H66" s="3" t="s">
        <v>114</v>
      </c>
      <c r="I66" s="3" t="s">
        <v>115</v>
      </c>
      <c r="J66" s="5"/>
      <c r="K66" s="3"/>
      <c r="L66" s="3"/>
      <c r="M66" s="3"/>
      <c r="N66" s="3"/>
      <c r="O66" s="3"/>
      <c r="P66" s="3"/>
      <c r="Q66" s="3"/>
      <c r="R66" s="3"/>
      <c r="S66" s="3"/>
      <c r="T66" s="3"/>
      <c r="U66" s="3"/>
      <c r="V66" s="3"/>
      <c r="W66" s="3"/>
      <c r="X66" s="3"/>
      <c r="Y66" s="3"/>
      <c r="Z66" s="3"/>
    </row>
    <row r="67" ht="27.0" customHeight="1">
      <c r="A67" s="3" t="s">
        <v>9</v>
      </c>
      <c r="B67" s="4" t="s">
        <v>165</v>
      </c>
      <c r="C67" s="1">
        <v>26.0</v>
      </c>
      <c r="D67" s="3" t="s">
        <v>32</v>
      </c>
      <c r="E67" s="5" t="s">
        <v>116</v>
      </c>
      <c r="F67" s="5" t="s">
        <v>117</v>
      </c>
      <c r="G67" s="3">
        <f t="array" ref="G67">SUMPRODUCT(--(TRIM($E$2:$E$421)=TRIM(E67)))</f>
        <v>2</v>
      </c>
      <c r="H67" s="3" t="s">
        <v>54</v>
      </c>
      <c r="I67" s="3" t="s">
        <v>102</v>
      </c>
      <c r="J67" s="5"/>
      <c r="K67" s="3"/>
      <c r="L67" s="3"/>
      <c r="M67" s="3"/>
      <c r="N67" s="3"/>
      <c r="O67" s="3"/>
      <c r="P67" s="3"/>
      <c r="Q67" s="3"/>
      <c r="R67" s="3"/>
      <c r="S67" s="3"/>
      <c r="T67" s="3"/>
      <c r="U67" s="3"/>
      <c r="V67" s="3"/>
      <c r="W67" s="3"/>
      <c r="X67" s="3"/>
      <c r="Y67" s="3"/>
      <c r="Z67" s="3"/>
    </row>
    <row r="68" ht="27.0" customHeight="1">
      <c r="A68" s="3" t="s">
        <v>9</v>
      </c>
      <c r="B68" s="4" t="s">
        <v>165</v>
      </c>
      <c r="C68" s="1">
        <v>27.0</v>
      </c>
      <c r="D68" s="3" t="s">
        <v>32</v>
      </c>
      <c r="E68" s="5" t="s">
        <v>118</v>
      </c>
      <c r="F68" s="5" t="s">
        <v>119</v>
      </c>
      <c r="G68" s="3">
        <f t="array" ref="G68">SUMPRODUCT(--(TRIM($E$2:$E$421)=TRIM(E68)))</f>
        <v>2</v>
      </c>
      <c r="H68" s="3" t="s">
        <v>120</v>
      </c>
      <c r="I68" s="3" t="s">
        <v>60</v>
      </c>
      <c r="J68" s="5"/>
      <c r="K68" s="3"/>
      <c r="L68" s="3"/>
      <c r="M68" s="3"/>
      <c r="N68" s="3"/>
      <c r="O68" s="3"/>
      <c r="P68" s="3"/>
      <c r="Q68" s="3"/>
      <c r="R68" s="3"/>
      <c r="S68" s="3"/>
      <c r="T68" s="3"/>
      <c r="U68" s="3"/>
      <c r="V68" s="3"/>
      <c r="W68" s="3"/>
      <c r="X68" s="3"/>
      <c r="Y68" s="3"/>
      <c r="Z68" s="3"/>
    </row>
    <row r="69" ht="27.0" customHeight="1">
      <c r="A69" s="3" t="s">
        <v>9</v>
      </c>
      <c r="B69" s="4" t="s">
        <v>165</v>
      </c>
      <c r="C69" s="1">
        <v>28.0</v>
      </c>
      <c r="D69" s="3" t="s">
        <v>121</v>
      </c>
      <c r="E69" s="5" t="s">
        <v>122</v>
      </c>
      <c r="F69" s="5" t="s">
        <v>123</v>
      </c>
      <c r="G69" s="3">
        <f t="array" ref="G69">SUMPRODUCT(--(TRIM($E$2:$E$421)=TRIM(E69)))</f>
        <v>2</v>
      </c>
      <c r="H69" s="3" t="s">
        <v>124</v>
      </c>
      <c r="I69" s="3" t="s">
        <v>125</v>
      </c>
      <c r="J69" s="5"/>
      <c r="K69" s="3"/>
      <c r="L69" s="3"/>
      <c r="M69" s="3"/>
      <c r="N69" s="3"/>
      <c r="O69" s="3"/>
      <c r="P69" s="3"/>
      <c r="Q69" s="3"/>
      <c r="R69" s="3"/>
      <c r="S69" s="3"/>
      <c r="T69" s="3"/>
      <c r="U69" s="3"/>
      <c r="V69" s="3"/>
      <c r="W69" s="3"/>
      <c r="X69" s="3"/>
      <c r="Y69" s="3"/>
      <c r="Z69" s="3"/>
    </row>
    <row r="70" ht="27.0" customHeight="1">
      <c r="A70" s="3" t="s">
        <v>9</v>
      </c>
      <c r="B70" s="4" t="s">
        <v>165</v>
      </c>
      <c r="C70" s="1">
        <v>29.0</v>
      </c>
      <c r="D70" s="3" t="s">
        <v>32</v>
      </c>
      <c r="E70" s="5" t="s">
        <v>126</v>
      </c>
      <c r="F70" s="5" t="s">
        <v>127</v>
      </c>
      <c r="G70" s="3">
        <f t="array" ref="G70">SUMPRODUCT(--(TRIM($E$2:$E$421)=TRIM(E70)))</f>
        <v>2</v>
      </c>
      <c r="H70" s="3" t="s">
        <v>91</v>
      </c>
      <c r="I70" s="3" t="s">
        <v>92</v>
      </c>
      <c r="J70" s="5"/>
      <c r="K70" s="3"/>
      <c r="L70" s="3"/>
      <c r="M70" s="3"/>
      <c r="N70" s="3"/>
      <c r="O70" s="3"/>
      <c r="P70" s="3"/>
      <c r="Q70" s="3"/>
      <c r="R70" s="3"/>
      <c r="S70" s="3"/>
      <c r="T70" s="3"/>
      <c r="U70" s="3"/>
      <c r="V70" s="3"/>
      <c r="W70" s="3"/>
      <c r="X70" s="3"/>
      <c r="Y70" s="3"/>
      <c r="Z70" s="3"/>
    </row>
    <row r="71" ht="27.0" customHeight="1">
      <c r="A71" s="3" t="s">
        <v>9</v>
      </c>
      <c r="B71" s="4" t="s">
        <v>165</v>
      </c>
      <c r="C71" s="1">
        <v>30.0</v>
      </c>
      <c r="D71" s="3" t="s">
        <v>173</v>
      </c>
      <c r="E71" s="5" t="s">
        <v>174</v>
      </c>
      <c r="F71" s="5" t="s">
        <v>175</v>
      </c>
      <c r="G71" s="3">
        <f t="array" ref="G71">SUMPRODUCT(--(TRIM($E$2:$E$421)=TRIM(E71)))</f>
        <v>3</v>
      </c>
      <c r="H71" s="3" t="s">
        <v>64</v>
      </c>
      <c r="I71" s="3" t="s">
        <v>176</v>
      </c>
      <c r="J71" s="5"/>
      <c r="K71" s="3"/>
      <c r="L71" s="3"/>
      <c r="M71" s="3"/>
      <c r="N71" s="3"/>
      <c r="O71" s="3"/>
      <c r="P71" s="3"/>
      <c r="Q71" s="3"/>
      <c r="R71" s="3"/>
      <c r="S71" s="3"/>
      <c r="T71" s="3"/>
      <c r="U71" s="3"/>
      <c r="V71" s="3"/>
      <c r="W71" s="3"/>
      <c r="X71" s="3"/>
      <c r="Y71" s="3"/>
      <c r="Z71" s="3"/>
    </row>
    <row r="72" ht="27.0" customHeight="1">
      <c r="A72" s="3" t="s">
        <v>9</v>
      </c>
      <c r="B72" s="4" t="s">
        <v>165</v>
      </c>
      <c r="C72" s="1">
        <v>31.0</v>
      </c>
      <c r="D72" s="3" t="s">
        <v>131</v>
      </c>
      <c r="E72" s="5" t="s">
        <v>132</v>
      </c>
      <c r="F72" s="5" t="s">
        <v>133</v>
      </c>
      <c r="G72" s="3">
        <f t="array" ref="G72">SUMPRODUCT(--(TRIM($E$2:$E$421)=TRIM(E72)))</f>
        <v>3</v>
      </c>
      <c r="H72" s="3" t="s">
        <v>39</v>
      </c>
      <c r="I72" s="3" t="s">
        <v>40</v>
      </c>
      <c r="J72" s="5"/>
      <c r="K72" s="3"/>
      <c r="L72" s="3"/>
      <c r="M72" s="3"/>
      <c r="N72" s="3"/>
      <c r="O72" s="3"/>
      <c r="P72" s="3"/>
      <c r="Q72" s="3"/>
      <c r="R72" s="3"/>
      <c r="S72" s="3"/>
      <c r="T72" s="3"/>
      <c r="U72" s="3"/>
      <c r="V72" s="3"/>
      <c r="W72" s="3"/>
      <c r="X72" s="3"/>
      <c r="Y72" s="3"/>
      <c r="Z72" s="3"/>
    </row>
    <row r="73" ht="27.0" customHeight="1">
      <c r="A73" s="3" t="s">
        <v>9</v>
      </c>
      <c r="B73" s="4" t="s">
        <v>165</v>
      </c>
      <c r="C73" s="1">
        <v>32.0</v>
      </c>
      <c r="D73" s="3" t="s">
        <v>134</v>
      </c>
      <c r="E73" s="5" t="s">
        <v>135</v>
      </c>
      <c r="F73" s="5" t="s">
        <v>136</v>
      </c>
      <c r="G73" s="3">
        <f t="array" ref="G73">SUMPRODUCT(--(TRIM($E$2:$E$421)=TRIM(E73)))</f>
        <v>2</v>
      </c>
      <c r="H73" s="3" t="s">
        <v>73</v>
      </c>
      <c r="I73" s="3" t="s">
        <v>137</v>
      </c>
      <c r="J73" s="5"/>
      <c r="K73" s="3"/>
      <c r="L73" s="3"/>
      <c r="M73" s="3"/>
      <c r="N73" s="3"/>
      <c r="O73" s="3"/>
      <c r="P73" s="3"/>
      <c r="Q73" s="3"/>
      <c r="R73" s="3"/>
      <c r="S73" s="3"/>
      <c r="T73" s="3"/>
      <c r="U73" s="3"/>
      <c r="V73" s="3"/>
      <c r="W73" s="3"/>
      <c r="X73" s="3"/>
      <c r="Y73" s="3"/>
      <c r="Z73" s="3"/>
    </row>
    <row r="74" ht="27.0" customHeight="1">
      <c r="A74" s="3" t="s">
        <v>9</v>
      </c>
      <c r="B74" s="4" t="s">
        <v>165</v>
      </c>
      <c r="C74" s="1">
        <v>33.0</v>
      </c>
      <c r="D74" s="3" t="s">
        <v>138</v>
      </c>
      <c r="E74" s="3" t="s">
        <v>139</v>
      </c>
      <c r="F74" s="5" t="s">
        <v>177</v>
      </c>
      <c r="G74" s="3">
        <f t="array" ref="G74">SUMPRODUCT(--(TRIM($E$2:$E$421)=TRIM(E74)))</f>
        <v>3</v>
      </c>
      <c r="H74" s="3" t="s">
        <v>141</v>
      </c>
      <c r="I74" s="3" t="s">
        <v>55</v>
      </c>
      <c r="J74" s="3"/>
      <c r="K74" s="3"/>
      <c r="L74" s="3"/>
      <c r="M74" s="3"/>
      <c r="N74" s="3"/>
      <c r="O74" s="3"/>
      <c r="P74" s="3"/>
      <c r="Q74" s="3"/>
      <c r="R74" s="3"/>
      <c r="S74" s="3"/>
      <c r="T74" s="3"/>
      <c r="U74" s="3"/>
      <c r="V74" s="3"/>
      <c r="W74" s="3"/>
      <c r="X74" s="3"/>
      <c r="Y74" s="3"/>
      <c r="Z74" s="3"/>
    </row>
    <row r="75" ht="27.0" customHeight="1">
      <c r="A75" s="3" t="s">
        <v>9</v>
      </c>
      <c r="B75" s="4" t="s">
        <v>165</v>
      </c>
      <c r="C75" s="1">
        <v>34.0</v>
      </c>
      <c r="D75" s="3" t="s">
        <v>142</v>
      </c>
      <c r="E75" s="5" t="s">
        <v>143</v>
      </c>
      <c r="F75" s="5" t="s">
        <v>144</v>
      </c>
      <c r="G75" s="3">
        <f t="array" ref="G75">SUMPRODUCT(--(TRIM($E$2:$E$421)=TRIM(E75)))</f>
        <v>6</v>
      </c>
      <c r="H75" s="3" t="s">
        <v>145</v>
      </c>
      <c r="I75" s="3" t="s">
        <v>146</v>
      </c>
      <c r="J75" s="5"/>
      <c r="K75" s="3"/>
      <c r="L75" s="3"/>
      <c r="M75" s="3"/>
      <c r="N75" s="3"/>
      <c r="O75" s="3"/>
      <c r="P75" s="3"/>
      <c r="Q75" s="3"/>
      <c r="R75" s="3"/>
      <c r="S75" s="3"/>
      <c r="T75" s="3"/>
      <c r="U75" s="3"/>
      <c r="V75" s="3"/>
      <c r="W75" s="3"/>
      <c r="X75" s="3"/>
      <c r="Y75" s="3"/>
      <c r="Z75" s="3"/>
    </row>
    <row r="76" ht="27.0" customHeight="1">
      <c r="A76" s="3" t="s">
        <v>9</v>
      </c>
      <c r="B76" s="4" t="s">
        <v>165</v>
      </c>
      <c r="C76" s="1">
        <v>35.0</v>
      </c>
      <c r="D76" s="3" t="s">
        <v>147</v>
      </c>
      <c r="E76" s="5" t="s">
        <v>148</v>
      </c>
      <c r="F76" s="5" t="s">
        <v>149</v>
      </c>
      <c r="G76" s="3">
        <f t="array" ref="G76">SUMPRODUCT(--(TRIM($E$2:$E$421)=TRIM(E76)))</f>
        <v>2</v>
      </c>
      <c r="H76" s="3" t="s">
        <v>150</v>
      </c>
      <c r="I76" s="3" t="s">
        <v>151</v>
      </c>
      <c r="J76" s="5"/>
      <c r="K76" s="3"/>
      <c r="L76" s="3"/>
      <c r="M76" s="3"/>
      <c r="N76" s="3"/>
      <c r="O76" s="3"/>
      <c r="P76" s="3"/>
      <c r="Q76" s="3"/>
      <c r="R76" s="3"/>
      <c r="S76" s="3"/>
      <c r="T76" s="3"/>
      <c r="U76" s="3"/>
      <c r="V76" s="3"/>
      <c r="W76" s="3"/>
      <c r="X76" s="3"/>
      <c r="Y76" s="3"/>
      <c r="Z76" s="3"/>
    </row>
    <row r="77" ht="27.0" customHeight="1">
      <c r="A77" s="3" t="s">
        <v>9</v>
      </c>
      <c r="B77" s="4" t="s">
        <v>165</v>
      </c>
      <c r="C77" s="1">
        <v>36.0</v>
      </c>
      <c r="D77" s="5" t="s">
        <v>152</v>
      </c>
      <c r="E77" s="5" t="s">
        <v>153</v>
      </c>
      <c r="F77" s="5" t="s">
        <v>154</v>
      </c>
      <c r="G77" s="3">
        <f t="array" ref="G77">SUMPRODUCT(--(TRIM($E$2:$E$421)=TRIM(E77)))</f>
        <v>5</v>
      </c>
      <c r="H77" s="3" t="s">
        <v>44</v>
      </c>
      <c r="I77" s="3" t="s">
        <v>45</v>
      </c>
      <c r="J77" s="5"/>
      <c r="K77" s="3"/>
      <c r="L77" s="3"/>
      <c r="M77" s="3"/>
      <c r="N77" s="3"/>
      <c r="O77" s="3"/>
      <c r="P77" s="3"/>
      <c r="Q77" s="3"/>
      <c r="R77" s="3"/>
      <c r="S77" s="3"/>
      <c r="T77" s="3"/>
      <c r="U77" s="3"/>
      <c r="V77" s="3"/>
      <c r="W77" s="3"/>
      <c r="X77" s="3"/>
      <c r="Y77" s="3"/>
      <c r="Z77" s="3"/>
    </row>
    <row r="78" ht="27.0" customHeight="1">
      <c r="A78" s="3" t="s">
        <v>9</v>
      </c>
      <c r="B78" s="4" t="s">
        <v>165</v>
      </c>
      <c r="C78" s="1">
        <v>37.0</v>
      </c>
      <c r="D78" s="3" t="s">
        <v>32</v>
      </c>
      <c r="E78" s="5" t="s">
        <v>178</v>
      </c>
      <c r="F78" s="5" t="s">
        <v>179</v>
      </c>
      <c r="G78" s="3">
        <f t="array" ref="G78">SUMPRODUCT(--(TRIM($E$2:$E$421)=TRIM(E78)))</f>
        <v>1</v>
      </c>
      <c r="H78" s="3" t="s">
        <v>14</v>
      </c>
      <c r="I78" s="3" t="s">
        <v>180</v>
      </c>
      <c r="J78" s="5"/>
      <c r="K78" s="3"/>
      <c r="L78" s="3"/>
      <c r="M78" s="3"/>
      <c r="N78" s="3"/>
      <c r="O78" s="3"/>
      <c r="P78" s="3"/>
      <c r="Q78" s="3"/>
      <c r="R78" s="3"/>
      <c r="S78" s="3"/>
      <c r="T78" s="3"/>
      <c r="U78" s="3"/>
      <c r="V78" s="3"/>
      <c r="W78" s="3"/>
      <c r="X78" s="3"/>
      <c r="Y78" s="3"/>
      <c r="Z78" s="3"/>
    </row>
    <row r="79" ht="27.0" customHeight="1">
      <c r="A79" s="3" t="s">
        <v>9</v>
      </c>
      <c r="B79" s="4" t="s">
        <v>165</v>
      </c>
      <c r="C79" s="1">
        <v>38.0</v>
      </c>
      <c r="D79" s="3" t="s">
        <v>157</v>
      </c>
      <c r="E79" s="5" t="s">
        <v>158</v>
      </c>
      <c r="F79" s="5" t="s">
        <v>159</v>
      </c>
      <c r="G79" s="3">
        <f t="array" ref="G79">SUMPRODUCT(--(TRIM($E$2:$E$421)=TRIM(E79)))</f>
        <v>5</v>
      </c>
      <c r="H79" s="3" t="s">
        <v>54</v>
      </c>
      <c r="I79" s="3" t="s">
        <v>55</v>
      </c>
      <c r="J79" s="5"/>
      <c r="K79" s="3"/>
      <c r="L79" s="3"/>
      <c r="M79" s="3"/>
      <c r="N79" s="3"/>
      <c r="O79" s="3"/>
      <c r="P79" s="3"/>
      <c r="Q79" s="3"/>
      <c r="R79" s="3"/>
      <c r="S79" s="3"/>
      <c r="T79" s="3"/>
      <c r="U79" s="3"/>
      <c r="V79" s="3"/>
      <c r="W79" s="3"/>
      <c r="X79" s="3"/>
      <c r="Y79" s="3"/>
      <c r="Z79" s="3"/>
    </row>
    <row r="80" ht="27.0" customHeight="1">
      <c r="A80" s="3" t="s">
        <v>9</v>
      </c>
      <c r="B80" s="4" t="s">
        <v>165</v>
      </c>
      <c r="C80" s="1">
        <v>39.0</v>
      </c>
      <c r="D80" s="3" t="s">
        <v>160</v>
      </c>
      <c r="E80" s="5" t="s">
        <v>161</v>
      </c>
      <c r="F80" s="5" t="s">
        <v>162</v>
      </c>
      <c r="G80" s="3">
        <f t="array" ref="G80">SUMPRODUCT(--(TRIM($E$2:$E$421)=TRIM(E80)))</f>
        <v>4</v>
      </c>
      <c r="H80" s="3" t="s">
        <v>22</v>
      </c>
      <c r="I80" s="3" t="s">
        <v>80</v>
      </c>
      <c r="J80" s="5"/>
      <c r="K80" s="3"/>
      <c r="L80" s="3"/>
      <c r="M80" s="3"/>
      <c r="N80" s="3"/>
      <c r="O80" s="3"/>
      <c r="P80" s="3"/>
      <c r="Q80" s="3"/>
      <c r="R80" s="3"/>
      <c r="S80" s="3"/>
      <c r="T80" s="3"/>
      <c r="U80" s="3"/>
      <c r="V80" s="3"/>
      <c r="W80" s="3"/>
      <c r="X80" s="3"/>
      <c r="Y80" s="3"/>
      <c r="Z80" s="3"/>
    </row>
    <row r="81" ht="27.0" customHeight="1">
      <c r="A81" s="3" t="s">
        <v>9</v>
      </c>
      <c r="B81" s="4" t="s">
        <v>165</v>
      </c>
      <c r="C81" s="1">
        <v>40.0</v>
      </c>
      <c r="D81" s="3" t="s">
        <v>32</v>
      </c>
      <c r="E81" s="5" t="s">
        <v>181</v>
      </c>
      <c r="F81" s="5" t="s">
        <v>182</v>
      </c>
      <c r="G81" s="3">
        <f t="array" ref="G81">SUMPRODUCT(--(TRIM($E$2:$E$421)=TRIM(E81)))</f>
        <v>1</v>
      </c>
      <c r="H81" s="3" t="s">
        <v>35</v>
      </c>
      <c r="I81" s="3" t="s">
        <v>36</v>
      </c>
      <c r="J81" s="5"/>
      <c r="K81" s="3"/>
      <c r="L81" s="3"/>
      <c r="M81" s="3"/>
      <c r="N81" s="3"/>
      <c r="O81" s="3"/>
      <c r="P81" s="3"/>
      <c r="Q81" s="3"/>
      <c r="R81" s="3"/>
      <c r="S81" s="3"/>
      <c r="T81" s="3"/>
      <c r="U81" s="3"/>
      <c r="V81" s="3"/>
      <c r="W81" s="3"/>
      <c r="X81" s="3"/>
      <c r="Y81" s="3"/>
      <c r="Z81" s="3"/>
    </row>
    <row r="82" ht="27.0" customHeight="1">
      <c r="A82" s="3" t="s">
        <v>9</v>
      </c>
      <c r="B82" s="4" t="s">
        <v>183</v>
      </c>
      <c r="C82" s="1">
        <v>1.0</v>
      </c>
      <c r="D82" s="3" t="s">
        <v>11</v>
      </c>
      <c r="E82" s="5" t="s">
        <v>12</v>
      </c>
      <c r="F82" s="5" t="s">
        <v>13</v>
      </c>
      <c r="G82" s="3">
        <f t="array" ref="G82">SUMPRODUCT(--(TRIM($E$2:$E$421)=TRIM(E82)))</f>
        <v>5</v>
      </c>
      <c r="H82" s="3" t="s">
        <v>14</v>
      </c>
      <c r="I82" s="3" t="s">
        <v>15</v>
      </c>
      <c r="J82" s="5"/>
      <c r="K82" s="3"/>
      <c r="L82" s="3"/>
      <c r="M82" s="3"/>
      <c r="N82" s="3"/>
      <c r="O82" s="3"/>
      <c r="P82" s="3"/>
      <c r="Q82" s="3"/>
      <c r="R82" s="3"/>
      <c r="S82" s="3"/>
      <c r="T82" s="3"/>
      <c r="U82" s="3"/>
      <c r="V82" s="3"/>
      <c r="W82" s="3"/>
      <c r="X82" s="3"/>
      <c r="Y82" s="3"/>
      <c r="Z82" s="3"/>
    </row>
    <row r="83" ht="27.0" customHeight="1">
      <c r="A83" s="3" t="s">
        <v>9</v>
      </c>
      <c r="B83" s="4" t="s">
        <v>183</v>
      </c>
      <c r="C83" s="1">
        <v>2.0</v>
      </c>
      <c r="D83" s="3" t="s">
        <v>16</v>
      </c>
      <c r="E83" s="5" t="s">
        <v>17</v>
      </c>
      <c r="F83" s="5" t="s">
        <v>18</v>
      </c>
      <c r="G83" s="3">
        <f t="array" ref="G83">SUMPRODUCT(--(TRIM($E$2:$E$421)=TRIM(E83)))</f>
        <v>6</v>
      </c>
      <c r="H83" s="3" t="s">
        <v>14</v>
      </c>
      <c r="I83" s="3" t="s">
        <v>15</v>
      </c>
      <c r="J83" s="5"/>
      <c r="K83" s="3"/>
      <c r="L83" s="3"/>
      <c r="M83" s="3"/>
      <c r="N83" s="3"/>
      <c r="O83" s="3"/>
      <c r="P83" s="3"/>
      <c r="Q83" s="3"/>
      <c r="R83" s="3"/>
      <c r="S83" s="3"/>
      <c r="T83" s="3"/>
      <c r="U83" s="3"/>
      <c r="V83" s="3"/>
      <c r="W83" s="3"/>
      <c r="X83" s="3"/>
      <c r="Y83" s="3"/>
      <c r="Z83" s="3"/>
    </row>
    <row r="84" ht="27.0" customHeight="1">
      <c r="A84" s="3" t="s">
        <v>9</v>
      </c>
      <c r="B84" s="4" t="s">
        <v>183</v>
      </c>
      <c r="C84" s="1">
        <v>3.0</v>
      </c>
      <c r="D84" s="3" t="s">
        <v>19</v>
      </c>
      <c r="E84" s="5" t="s">
        <v>166</v>
      </c>
      <c r="F84" s="5" t="s">
        <v>21</v>
      </c>
      <c r="G84" s="3">
        <f t="array" ref="G84">SUMPRODUCT(--(TRIM($E$2:$E$421)=TRIM(E84)))</f>
        <v>2</v>
      </c>
      <c r="H84" s="3" t="s">
        <v>22</v>
      </c>
      <c r="I84" s="3" t="s">
        <v>23</v>
      </c>
      <c r="J84" s="5"/>
      <c r="K84" s="3"/>
      <c r="L84" s="3"/>
      <c r="M84" s="3"/>
      <c r="N84" s="3"/>
      <c r="O84" s="3"/>
      <c r="P84" s="3"/>
      <c r="Q84" s="3"/>
      <c r="R84" s="3"/>
      <c r="S84" s="3"/>
      <c r="T84" s="3"/>
      <c r="U84" s="3"/>
      <c r="V84" s="3"/>
      <c r="W84" s="3"/>
      <c r="X84" s="3"/>
      <c r="Y84" s="3"/>
      <c r="Z84" s="3"/>
    </row>
    <row r="85" ht="27.0" customHeight="1">
      <c r="A85" s="6" t="s">
        <v>9</v>
      </c>
      <c r="B85" s="4" t="s">
        <v>183</v>
      </c>
      <c r="C85" s="7">
        <v>4.0</v>
      </c>
      <c r="D85" s="6" t="s">
        <v>184</v>
      </c>
      <c r="E85" s="8" t="s">
        <v>185</v>
      </c>
      <c r="F85" s="6" t="s">
        <v>186</v>
      </c>
      <c r="G85" s="3">
        <f t="array" ref="G85">SUMPRODUCT(--(TRIM($E$2:$E$421)=TRIM(E85)))</f>
        <v>1</v>
      </c>
      <c r="H85" s="3" t="s">
        <v>27</v>
      </c>
      <c r="I85" s="3" t="s">
        <v>28</v>
      </c>
      <c r="J85" s="8"/>
      <c r="K85" s="3"/>
      <c r="L85" s="3"/>
      <c r="M85" s="3"/>
      <c r="N85" s="3"/>
      <c r="O85" s="3"/>
      <c r="P85" s="3"/>
      <c r="Q85" s="3"/>
      <c r="R85" s="3"/>
      <c r="S85" s="3"/>
      <c r="T85" s="3"/>
      <c r="U85" s="3"/>
      <c r="V85" s="3"/>
      <c r="W85" s="3"/>
      <c r="X85" s="3"/>
      <c r="Y85" s="3"/>
      <c r="Z85" s="3"/>
    </row>
    <row r="86" ht="27.0" customHeight="1">
      <c r="A86" s="3" t="s">
        <v>9</v>
      </c>
      <c r="B86" s="4" t="s">
        <v>183</v>
      </c>
      <c r="C86" s="1">
        <v>5.0</v>
      </c>
      <c r="D86" s="3" t="s">
        <v>24</v>
      </c>
      <c r="E86" s="5" t="s">
        <v>25</v>
      </c>
      <c r="F86" s="5" t="s">
        <v>26</v>
      </c>
      <c r="G86" s="3">
        <f t="array" ref="G86">SUMPRODUCT(--(TRIM($E$2:$E$421)=TRIM(E86)))</f>
        <v>3</v>
      </c>
      <c r="H86" s="3" t="s">
        <v>27</v>
      </c>
      <c r="I86" s="3" t="s">
        <v>28</v>
      </c>
      <c r="J86" s="5"/>
      <c r="K86" s="3"/>
      <c r="L86" s="3"/>
      <c r="M86" s="3"/>
      <c r="N86" s="3"/>
      <c r="O86" s="3"/>
      <c r="P86" s="3"/>
      <c r="Q86" s="3"/>
      <c r="R86" s="3"/>
      <c r="S86" s="3"/>
      <c r="T86" s="3"/>
      <c r="U86" s="3"/>
      <c r="V86" s="3"/>
      <c r="W86" s="3"/>
      <c r="X86" s="3"/>
      <c r="Y86" s="3"/>
      <c r="Z86" s="3"/>
    </row>
    <row r="87" ht="27.0" customHeight="1">
      <c r="A87" s="3" t="s">
        <v>9</v>
      </c>
      <c r="B87" s="4" t="s">
        <v>183</v>
      </c>
      <c r="C87" s="1">
        <v>6.0</v>
      </c>
      <c r="D87" s="3" t="s">
        <v>29</v>
      </c>
      <c r="E87" s="5" t="s">
        <v>30</v>
      </c>
      <c r="F87" s="5" t="s">
        <v>31</v>
      </c>
      <c r="G87" s="3">
        <f t="array" ref="G87">SUMPRODUCT(--(TRIM($E$2:$E$421)=TRIM(E87)))</f>
        <v>5</v>
      </c>
      <c r="H87" s="3" t="s">
        <v>27</v>
      </c>
      <c r="I87" s="3" t="s">
        <v>28</v>
      </c>
      <c r="J87" s="5"/>
      <c r="K87" s="3"/>
      <c r="L87" s="3"/>
      <c r="M87" s="3"/>
      <c r="N87" s="3"/>
      <c r="O87" s="3"/>
      <c r="P87" s="3"/>
      <c r="Q87" s="3"/>
      <c r="R87" s="3"/>
      <c r="S87" s="3"/>
      <c r="T87" s="3"/>
      <c r="U87" s="3"/>
      <c r="V87" s="3"/>
      <c r="W87" s="3"/>
      <c r="X87" s="3"/>
      <c r="Y87" s="3"/>
      <c r="Z87" s="3"/>
    </row>
    <row r="88" ht="27.0" customHeight="1">
      <c r="A88" s="3" t="s">
        <v>9</v>
      </c>
      <c r="B88" s="4" t="s">
        <v>183</v>
      </c>
      <c r="C88" s="1">
        <v>7.0</v>
      </c>
      <c r="D88" s="3" t="s">
        <v>187</v>
      </c>
      <c r="E88" s="5" t="s">
        <v>188</v>
      </c>
      <c r="F88" s="5" t="s">
        <v>189</v>
      </c>
      <c r="G88" s="3">
        <f t="array" ref="G88">SUMPRODUCT(--(TRIM($E$2:$E$421)=TRIM(E88)))</f>
        <v>3</v>
      </c>
      <c r="H88" s="3" t="s">
        <v>190</v>
      </c>
      <c r="I88" s="3" t="s">
        <v>80</v>
      </c>
      <c r="J88" s="5"/>
      <c r="K88" s="3"/>
      <c r="L88" s="3"/>
      <c r="M88" s="3"/>
      <c r="N88" s="3"/>
      <c r="O88" s="3"/>
      <c r="P88" s="3"/>
      <c r="Q88" s="3"/>
      <c r="R88" s="3"/>
      <c r="S88" s="3"/>
      <c r="T88" s="3"/>
      <c r="U88" s="3"/>
      <c r="V88" s="3"/>
      <c r="W88" s="3"/>
      <c r="X88" s="3"/>
      <c r="Y88" s="3"/>
      <c r="Z88" s="3"/>
    </row>
    <row r="89" ht="27.0" customHeight="1">
      <c r="A89" s="6" t="s">
        <v>9</v>
      </c>
      <c r="B89" s="4" t="s">
        <v>183</v>
      </c>
      <c r="C89" s="7">
        <v>8.0</v>
      </c>
      <c r="D89" s="6" t="s">
        <v>191</v>
      </c>
      <c r="E89" s="8" t="s">
        <v>192</v>
      </c>
      <c r="F89" s="6" t="s">
        <v>193</v>
      </c>
      <c r="G89" s="3">
        <f t="array" ref="G89">SUMPRODUCT(--(TRIM($E$2:$E$421)=TRIM(E89)))</f>
        <v>1</v>
      </c>
      <c r="H89" s="3" t="s">
        <v>39</v>
      </c>
      <c r="I89" s="3" t="s">
        <v>40</v>
      </c>
      <c r="J89" s="8"/>
      <c r="K89" s="3"/>
      <c r="L89" s="3"/>
      <c r="M89" s="3"/>
      <c r="N89" s="3"/>
      <c r="O89" s="3"/>
      <c r="P89" s="3"/>
      <c r="Q89" s="3"/>
      <c r="R89" s="3"/>
      <c r="S89" s="3"/>
      <c r="T89" s="3"/>
      <c r="U89" s="3"/>
      <c r="V89" s="3"/>
      <c r="W89" s="3"/>
      <c r="X89" s="3"/>
      <c r="Y89" s="3"/>
      <c r="Z89" s="3"/>
    </row>
    <row r="90" ht="27.0" customHeight="1">
      <c r="A90" s="3" t="s">
        <v>9</v>
      </c>
      <c r="B90" s="4" t="s">
        <v>183</v>
      </c>
      <c r="C90" s="1">
        <v>9.0</v>
      </c>
      <c r="D90" s="3" t="s">
        <v>96</v>
      </c>
      <c r="E90" s="5" t="s">
        <v>97</v>
      </c>
      <c r="F90" s="5" t="s">
        <v>98</v>
      </c>
      <c r="G90" s="3">
        <f t="array" ref="G90">SUMPRODUCT(--(TRIM($E$2:$E$421)=TRIM(E90)))</f>
        <v>6</v>
      </c>
      <c r="H90" s="3" t="s">
        <v>39</v>
      </c>
      <c r="I90" s="3" t="s">
        <v>40</v>
      </c>
      <c r="J90" s="5"/>
      <c r="K90" s="3"/>
      <c r="L90" s="3"/>
      <c r="M90" s="3"/>
      <c r="N90" s="3"/>
      <c r="O90" s="3"/>
      <c r="P90" s="3"/>
      <c r="Q90" s="3"/>
      <c r="R90" s="3"/>
      <c r="S90" s="3"/>
      <c r="T90" s="3"/>
      <c r="U90" s="3"/>
      <c r="V90" s="3"/>
      <c r="W90" s="3"/>
      <c r="X90" s="3"/>
      <c r="Y90" s="3"/>
      <c r="Z90" s="3"/>
    </row>
    <row r="91" ht="27.0" customHeight="1">
      <c r="A91" s="3" t="s">
        <v>9</v>
      </c>
      <c r="B91" s="4" t="s">
        <v>183</v>
      </c>
      <c r="C91" s="1">
        <v>10.0</v>
      </c>
      <c r="D91" s="3" t="s">
        <v>194</v>
      </c>
      <c r="E91" s="5" t="s">
        <v>78</v>
      </c>
      <c r="F91" s="5" t="s">
        <v>79</v>
      </c>
      <c r="G91" s="3">
        <f t="array" ref="G91">SUMPRODUCT(--(TRIM($E$2:$E$421)=TRIM(E91)))</f>
        <v>5</v>
      </c>
      <c r="H91" s="3" t="s">
        <v>22</v>
      </c>
      <c r="I91" s="3" t="s">
        <v>80</v>
      </c>
      <c r="J91" s="5"/>
      <c r="K91" s="3"/>
      <c r="L91" s="3"/>
      <c r="M91" s="3"/>
      <c r="N91" s="3"/>
      <c r="O91" s="3"/>
      <c r="P91" s="3"/>
      <c r="Q91" s="3"/>
      <c r="R91" s="3"/>
      <c r="S91" s="3"/>
      <c r="T91" s="3"/>
      <c r="U91" s="3"/>
      <c r="V91" s="3"/>
      <c r="W91" s="3"/>
      <c r="X91" s="3"/>
      <c r="Y91" s="3"/>
      <c r="Z91" s="3"/>
    </row>
    <row r="92" ht="27.0" customHeight="1">
      <c r="A92" s="6" t="s">
        <v>9</v>
      </c>
      <c r="B92" s="4" t="s">
        <v>183</v>
      </c>
      <c r="C92" s="7">
        <v>11.0</v>
      </c>
      <c r="D92" s="6" t="s">
        <v>32</v>
      </c>
      <c r="E92" s="8" t="s">
        <v>195</v>
      </c>
      <c r="F92" s="6" t="s">
        <v>186</v>
      </c>
      <c r="G92" s="3">
        <f t="array" ref="G92">SUMPRODUCT(--(TRIM($E$2:$E$421)=TRIM(E92)))</f>
        <v>1</v>
      </c>
      <c r="H92" s="3" t="s">
        <v>49</v>
      </c>
      <c r="I92" s="3" t="s">
        <v>50</v>
      </c>
      <c r="J92" s="8"/>
      <c r="K92" s="3"/>
      <c r="L92" s="3"/>
      <c r="M92" s="3"/>
      <c r="N92" s="3"/>
      <c r="O92" s="3"/>
      <c r="P92" s="3"/>
      <c r="Q92" s="3"/>
      <c r="R92" s="3"/>
      <c r="S92" s="3"/>
      <c r="T92" s="3"/>
      <c r="U92" s="3"/>
      <c r="V92" s="3"/>
      <c r="W92" s="3"/>
      <c r="X92" s="3"/>
      <c r="Y92" s="3"/>
      <c r="Z92" s="3"/>
    </row>
    <row r="93" ht="27.0" customHeight="1">
      <c r="A93" s="3" t="s">
        <v>9</v>
      </c>
      <c r="B93" s="4" t="s">
        <v>183</v>
      </c>
      <c r="C93" s="1">
        <v>12.0</v>
      </c>
      <c r="D93" s="3" t="s">
        <v>196</v>
      </c>
      <c r="E93" s="5" t="s">
        <v>197</v>
      </c>
      <c r="F93" s="5" t="s">
        <v>198</v>
      </c>
      <c r="G93" s="3">
        <f t="array" ref="G93">SUMPRODUCT(--(TRIM($E$2:$E$421)=TRIM(E93)))</f>
        <v>1</v>
      </c>
      <c r="H93" s="3" t="s">
        <v>199</v>
      </c>
      <c r="I93" s="3" t="s">
        <v>36</v>
      </c>
      <c r="J93" s="5"/>
      <c r="K93" s="3"/>
      <c r="L93" s="3"/>
      <c r="M93" s="3"/>
      <c r="N93" s="3"/>
      <c r="O93" s="3"/>
      <c r="P93" s="3"/>
      <c r="Q93" s="3"/>
      <c r="R93" s="3"/>
      <c r="S93" s="3"/>
      <c r="T93" s="3"/>
      <c r="U93" s="3"/>
      <c r="V93" s="3"/>
      <c r="W93" s="3"/>
      <c r="X93" s="3"/>
      <c r="Y93" s="3"/>
      <c r="Z93" s="3"/>
    </row>
    <row r="94" ht="27.0" customHeight="1">
      <c r="A94" s="3" t="s">
        <v>9</v>
      </c>
      <c r="B94" s="4" t="s">
        <v>183</v>
      </c>
      <c r="C94" s="1">
        <v>13.0</v>
      </c>
      <c r="D94" s="3" t="s">
        <v>200</v>
      </c>
      <c r="E94" s="5" t="s">
        <v>201</v>
      </c>
      <c r="F94" s="5" t="s">
        <v>202</v>
      </c>
      <c r="G94" s="3">
        <f t="array" ref="G94">SUMPRODUCT(--(TRIM($E$2:$E$421)=TRIM(E94)))</f>
        <v>1</v>
      </c>
      <c r="H94" s="3" t="s">
        <v>39</v>
      </c>
      <c r="I94" s="3" t="s">
        <v>40</v>
      </c>
      <c r="J94" s="5"/>
      <c r="K94" s="3"/>
      <c r="L94" s="3"/>
      <c r="M94" s="3"/>
      <c r="N94" s="3"/>
      <c r="O94" s="3"/>
      <c r="P94" s="3"/>
      <c r="Q94" s="3"/>
      <c r="R94" s="3"/>
      <c r="S94" s="3"/>
      <c r="T94" s="3"/>
      <c r="U94" s="3"/>
      <c r="V94" s="3"/>
      <c r="W94" s="3"/>
      <c r="X94" s="3"/>
      <c r="Y94" s="3"/>
      <c r="Z94" s="3"/>
    </row>
    <row r="95" ht="27.0" customHeight="1">
      <c r="A95" s="3" t="s">
        <v>9</v>
      </c>
      <c r="B95" s="4" t="s">
        <v>183</v>
      </c>
      <c r="C95" s="1">
        <v>14.0</v>
      </c>
      <c r="D95" s="3" t="s">
        <v>32</v>
      </c>
      <c r="E95" s="5" t="s">
        <v>81</v>
      </c>
      <c r="F95" s="5" t="s">
        <v>82</v>
      </c>
      <c r="G95" s="3">
        <f t="array" ref="G95">SUMPRODUCT(--(TRIM($E$2:$E$421)=TRIM(E95)))</f>
        <v>3</v>
      </c>
      <c r="H95" s="3" t="s">
        <v>14</v>
      </c>
      <c r="I95" s="3" t="s">
        <v>83</v>
      </c>
      <c r="J95" s="5"/>
      <c r="K95" s="3"/>
      <c r="L95" s="3"/>
      <c r="M95" s="3"/>
      <c r="N95" s="3"/>
      <c r="O95" s="3"/>
      <c r="P95" s="3"/>
      <c r="Q95" s="3"/>
      <c r="R95" s="3"/>
      <c r="S95" s="3"/>
      <c r="T95" s="3"/>
      <c r="U95" s="3"/>
      <c r="V95" s="3"/>
      <c r="W95" s="3"/>
      <c r="X95" s="3"/>
      <c r="Y95" s="3"/>
      <c r="Z95" s="3"/>
    </row>
    <row r="96" ht="27.0" customHeight="1">
      <c r="A96" s="3" t="s">
        <v>9</v>
      </c>
      <c r="B96" s="4" t="s">
        <v>183</v>
      </c>
      <c r="C96" s="1">
        <v>15.0</v>
      </c>
      <c r="D96" s="3" t="s">
        <v>32</v>
      </c>
      <c r="E96" s="5" t="s">
        <v>203</v>
      </c>
      <c r="F96" s="5" t="s">
        <v>204</v>
      </c>
      <c r="G96" s="3">
        <f t="array" ref="G96">SUMPRODUCT(--(TRIM($E$2:$E$421)=TRIM(E96)))</f>
        <v>3</v>
      </c>
      <c r="H96" s="3" t="s">
        <v>205</v>
      </c>
      <c r="I96" s="3" t="s">
        <v>206</v>
      </c>
      <c r="J96" s="5"/>
      <c r="K96" s="3"/>
      <c r="L96" s="3"/>
      <c r="M96" s="3"/>
      <c r="N96" s="3"/>
      <c r="O96" s="3"/>
      <c r="P96" s="3"/>
      <c r="Q96" s="3"/>
      <c r="R96" s="3"/>
      <c r="S96" s="3"/>
      <c r="T96" s="3"/>
      <c r="U96" s="3"/>
      <c r="V96" s="3"/>
      <c r="W96" s="3"/>
      <c r="X96" s="3"/>
      <c r="Y96" s="3"/>
      <c r="Z96" s="3"/>
    </row>
    <row r="97" ht="27.0" customHeight="1">
      <c r="A97" s="3" t="s">
        <v>9</v>
      </c>
      <c r="B97" s="4" t="s">
        <v>183</v>
      </c>
      <c r="C97" s="1">
        <v>16.0</v>
      </c>
      <c r="D97" s="3" t="s">
        <v>207</v>
      </c>
      <c r="E97" s="5" t="s">
        <v>208</v>
      </c>
      <c r="F97" s="5" t="s">
        <v>209</v>
      </c>
      <c r="G97" s="3">
        <f t="array" ref="G97">SUMPRODUCT(--(TRIM($E$2:$E$421)=TRIM(E97)))</f>
        <v>2</v>
      </c>
      <c r="H97" s="3" t="s">
        <v>170</v>
      </c>
      <c r="I97" s="3" t="s">
        <v>171</v>
      </c>
      <c r="J97" s="5"/>
      <c r="K97" s="3"/>
      <c r="L97" s="3"/>
      <c r="M97" s="3"/>
      <c r="N97" s="3"/>
      <c r="O97" s="3"/>
      <c r="P97" s="3"/>
      <c r="Q97" s="3"/>
      <c r="R97" s="3"/>
      <c r="S97" s="3"/>
      <c r="T97" s="3"/>
      <c r="U97" s="3"/>
      <c r="V97" s="3"/>
      <c r="W97" s="3"/>
      <c r="X97" s="3"/>
      <c r="Y97" s="3"/>
      <c r="Z97" s="3"/>
    </row>
    <row r="98" ht="27.0" customHeight="1">
      <c r="A98" s="3" t="s">
        <v>9</v>
      </c>
      <c r="B98" s="4" t="s">
        <v>183</v>
      </c>
      <c r="C98" s="1">
        <v>17.0</v>
      </c>
      <c r="D98" s="3" t="s">
        <v>210</v>
      </c>
      <c r="E98" s="5" t="s">
        <v>211</v>
      </c>
      <c r="F98" s="5" t="s">
        <v>212</v>
      </c>
      <c r="G98" s="3">
        <f t="array" ref="G98">SUMPRODUCT(--(TRIM($E$2:$E$421)=TRIM(E98)))</f>
        <v>1</v>
      </c>
      <c r="H98" s="3" t="s">
        <v>39</v>
      </c>
      <c r="I98" s="3" t="s">
        <v>40</v>
      </c>
      <c r="J98" s="5"/>
      <c r="K98" s="3"/>
      <c r="L98" s="3"/>
      <c r="M98" s="3"/>
      <c r="N98" s="3"/>
      <c r="O98" s="3"/>
      <c r="P98" s="3"/>
      <c r="Q98" s="3"/>
      <c r="R98" s="3"/>
      <c r="S98" s="3"/>
      <c r="T98" s="3"/>
      <c r="U98" s="3"/>
      <c r="V98" s="3"/>
      <c r="W98" s="3"/>
      <c r="X98" s="3"/>
      <c r="Y98" s="3"/>
      <c r="Z98" s="3"/>
    </row>
    <row r="99" ht="27.0" customHeight="1">
      <c r="A99" s="6" t="s">
        <v>9</v>
      </c>
      <c r="B99" s="4" t="s">
        <v>183</v>
      </c>
      <c r="C99" s="7">
        <v>18.0</v>
      </c>
      <c r="D99" s="6" t="s">
        <v>32</v>
      </c>
      <c r="E99" s="8" t="s">
        <v>213</v>
      </c>
      <c r="F99" s="6" t="s">
        <v>186</v>
      </c>
      <c r="G99" s="3">
        <f t="array" ref="G99">SUMPRODUCT(--(TRIM($E$2:$E$421)=TRIM(E99)))</f>
        <v>1</v>
      </c>
      <c r="H99" s="3" t="s">
        <v>214</v>
      </c>
      <c r="I99" s="3" t="s">
        <v>215</v>
      </c>
      <c r="J99" s="8"/>
      <c r="K99" s="3"/>
      <c r="L99" s="3"/>
      <c r="M99" s="3"/>
      <c r="N99" s="3"/>
      <c r="O99" s="3"/>
      <c r="P99" s="3"/>
      <c r="Q99" s="3"/>
      <c r="R99" s="3"/>
      <c r="S99" s="3"/>
      <c r="T99" s="3"/>
      <c r="U99" s="3"/>
      <c r="V99" s="3"/>
      <c r="W99" s="3"/>
      <c r="X99" s="3"/>
      <c r="Y99" s="3"/>
      <c r="Z99" s="3"/>
    </row>
    <row r="100" ht="27.0" customHeight="1">
      <c r="A100" s="3" t="s">
        <v>9</v>
      </c>
      <c r="B100" s="4" t="s">
        <v>183</v>
      </c>
      <c r="C100" s="1">
        <v>19.0</v>
      </c>
      <c r="D100" s="3" t="s">
        <v>216</v>
      </c>
      <c r="E100" s="5" t="s">
        <v>217</v>
      </c>
      <c r="F100" s="5" t="s">
        <v>218</v>
      </c>
      <c r="G100" s="3">
        <f t="array" ref="G100">SUMPRODUCT(--(TRIM($E$2:$E$421)=TRIM(E100)))</f>
        <v>1</v>
      </c>
      <c r="H100" s="3" t="s">
        <v>170</v>
      </c>
      <c r="I100" s="3" t="s">
        <v>171</v>
      </c>
      <c r="J100" s="5"/>
      <c r="K100" s="3"/>
      <c r="L100" s="3"/>
      <c r="M100" s="3"/>
      <c r="N100" s="3"/>
      <c r="O100" s="3"/>
      <c r="P100" s="3"/>
      <c r="Q100" s="3"/>
      <c r="R100" s="3"/>
      <c r="S100" s="3"/>
      <c r="T100" s="3"/>
      <c r="U100" s="3"/>
      <c r="V100" s="3"/>
      <c r="W100" s="3"/>
      <c r="X100" s="3"/>
      <c r="Y100" s="3"/>
      <c r="Z100" s="3"/>
    </row>
    <row r="101" ht="27.0" customHeight="1">
      <c r="A101" s="3" t="s">
        <v>9</v>
      </c>
      <c r="B101" s="4" t="s">
        <v>183</v>
      </c>
      <c r="C101" s="1">
        <v>20.0</v>
      </c>
      <c r="D101" s="3" t="s">
        <v>219</v>
      </c>
      <c r="E101" s="5" t="s">
        <v>220</v>
      </c>
      <c r="F101" s="5" t="s">
        <v>221</v>
      </c>
      <c r="G101" s="3">
        <f t="array" ref="G101">SUMPRODUCT(--(TRIM($E$2:$E$421)=TRIM(E101)))</f>
        <v>4</v>
      </c>
      <c r="H101" s="3" t="s">
        <v>27</v>
      </c>
      <c r="I101" s="3" t="s">
        <v>222</v>
      </c>
      <c r="J101" s="5"/>
      <c r="K101" s="3"/>
      <c r="L101" s="3"/>
      <c r="M101" s="3"/>
      <c r="N101" s="3"/>
      <c r="O101" s="3"/>
      <c r="P101" s="3"/>
      <c r="Q101" s="3"/>
      <c r="R101" s="3"/>
      <c r="S101" s="3"/>
      <c r="T101" s="3"/>
      <c r="U101" s="3"/>
      <c r="V101" s="3"/>
      <c r="W101" s="3"/>
      <c r="X101" s="3"/>
      <c r="Y101" s="3"/>
      <c r="Z101" s="3"/>
    </row>
    <row r="102" ht="27.0" customHeight="1">
      <c r="A102" s="3" t="s">
        <v>9</v>
      </c>
      <c r="B102" s="4" t="s">
        <v>183</v>
      </c>
      <c r="C102" s="1">
        <v>21.0</v>
      </c>
      <c r="D102" s="3" t="s">
        <v>223</v>
      </c>
      <c r="E102" s="5" t="s">
        <v>85</v>
      </c>
      <c r="F102" s="5" t="s">
        <v>86</v>
      </c>
      <c r="G102" s="3">
        <f t="array" ref="G102">SUMPRODUCT(--(TRIM($E$2:$E$421)=TRIM(E102)))</f>
        <v>5</v>
      </c>
      <c r="H102" s="3" t="s">
        <v>87</v>
      </c>
      <c r="I102" s="3" t="s">
        <v>88</v>
      </c>
      <c r="J102" s="5"/>
      <c r="K102" s="3"/>
      <c r="L102" s="3"/>
      <c r="M102" s="3"/>
      <c r="N102" s="3"/>
      <c r="O102" s="3"/>
      <c r="P102" s="3"/>
      <c r="Q102" s="3"/>
      <c r="R102" s="3"/>
      <c r="S102" s="3"/>
      <c r="T102" s="3"/>
      <c r="U102" s="3"/>
      <c r="V102" s="3"/>
      <c r="W102" s="3"/>
      <c r="X102" s="3"/>
      <c r="Y102" s="3"/>
      <c r="Z102" s="3"/>
    </row>
    <row r="103" ht="27.0" customHeight="1">
      <c r="A103" s="3" t="s">
        <v>9</v>
      </c>
      <c r="B103" s="4" t="s">
        <v>183</v>
      </c>
      <c r="C103" s="1">
        <v>22.0</v>
      </c>
      <c r="D103" s="3" t="s">
        <v>32</v>
      </c>
      <c r="E103" s="5" t="s">
        <v>224</v>
      </c>
      <c r="F103" s="5" t="s">
        <v>225</v>
      </c>
      <c r="G103" s="3">
        <f t="array" ref="G103">SUMPRODUCT(--(TRIM($E$2:$E$421)=TRIM(E103)))</f>
        <v>1</v>
      </c>
      <c r="H103" s="3" t="s">
        <v>14</v>
      </c>
      <c r="I103" s="3" t="s">
        <v>15</v>
      </c>
      <c r="J103" s="5"/>
      <c r="K103" s="3"/>
      <c r="L103" s="3"/>
      <c r="M103" s="3"/>
      <c r="N103" s="3"/>
      <c r="O103" s="3"/>
      <c r="P103" s="3"/>
      <c r="Q103" s="3"/>
      <c r="R103" s="3"/>
      <c r="S103" s="3"/>
      <c r="T103" s="3"/>
      <c r="U103" s="3"/>
      <c r="V103" s="3"/>
      <c r="W103" s="3"/>
      <c r="X103" s="3"/>
      <c r="Y103" s="3"/>
      <c r="Z103" s="3"/>
    </row>
    <row r="104" ht="27.0" customHeight="1">
      <c r="A104" s="3" t="s">
        <v>9</v>
      </c>
      <c r="B104" s="4" t="s">
        <v>183</v>
      </c>
      <c r="C104" s="1">
        <v>23.0</v>
      </c>
      <c r="D104" s="3" t="s">
        <v>32</v>
      </c>
      <c r="E104" s="5" t="s">
        <v>226</v>
      </c>
      <c r="F104" s="5" t="s">
        <v>227</v>
      </c>
      <c r="G104" s="3">
        <f t="array" ref="G104">SUMPRODUCT(--(TRIM($E$2:$E$421)=TRIM(E104)))</f>
        <v>1</v>
      </c>
      <c r="H104" s="3" t="s">
        <v>145</v>
      </c>
      <c r="I104" s="3" t="s">
        <v>146</v>
      </c>
      <c r="J104" s="8"/>
      <c r="K104" s="3"/>
      <c r="L104" s="3"/>
      <c r="M104" s="3"/>
      <c r="N104" s="3"/>
      <c r="O104" s="3"/>
      <c r="P104" s="3"/>
      <c r="Q104" s="3"/>
      <c r="R104" s="3"/>
      <c r="S104" s="3"/>
      <c r="T104" s="3"/>
      <c r="U104" s="3"/>
      <c r="V104" s="3"/>
      <c r="W104" s="3"/>
      <c r="X104" s="3"/>
      <c r="Y104" s="3"/>
      <c r="Z104" s="3"/>
    </row>
    <row r="105" ht="27.0" customHeight="1">
      <c r="A105" s="6" t="s">
        <v>9</v>
      </c>
      <c r="B105" s="4" t="s">
        <v>183</v>
      </c>
      <c r="C105" s="7">
        <v>24.0</v>
      </c>
      <c r="D105" s="3" t="s">
        <v>228</v>
      </c>
      <c r="E105" s="3" t="s">
        <v>229</v>
      </c>
      <c r="F105" s="3" t="s">
        <v>229</v>
      </c>
      <c r="G105" s="3">
        <f t="array" ref="G105">SUMPRODUCT(--(TRIM($E$2:$E$421)=TRIM(E105)))</f>
        <v>4</v>
      </c>
      <c r="H105" s="3" t="s">
        <v>170</v>
      </c>
      <c r="I105" s="3" t="s">
        <v>171</v>
      </c>
      <c r="J105" s="3"/>
      <c r="K105" s="3"/>
      <c r="L105" s="3"/>
      <c r="M105" s="3"/>
      <c r="N105" s="3"/>
      <c r="O105" s="3"/>
      <c r="P105" s="3"/>
      <c r="Q105" s="3"/>
      <c r="R105" s="3"/>
      <c r="S105" s="3"/>
      <c r="T105" s="3"/>
      <c r="U105" s="3"/>
      <c r="V105" s="3"/>
      <c r="W105" s="3"/>
      <c r="X105" s="3"/>
      <c r="Y105" s="3"/>
      <c r="Z105" s="3"/>
    </row>
    <row r="106" ht="27.0" customHeight="1">
      <c r="A106" s="3" t="s">
        <v>9</v>
      </c>
      <c r="B106" s="4" t="s">
        <v>183</v>
      </c>
      <c r="C106" s="1">
        <v>25.0</v>
      </c>
      <c r="D106" s="3" t="s">
        <v>230</v>
      </c>
      <c r="E106" s="5" t="s">
        <v>231</v>
      </c>
      <c r="F106" s="5" t="s">
        <v>232</v>
      </c>
      <c r="G106" s="3">
        <f t="array" ref="G106">SUMPRODUCT(--(TRIM($E$2:$E$421)=TRIM(E106)))</f>
        <v>1</v>
      </c>
      <c r="H106" s="3" t="s">
        <v>27</v>
      </c>
      <c r="I106" s="3" t="s">
        <v>222</v>
      </c>
      <c r="J106" s="5"/>
      <c r="K106" s="3"/>
      <c r="L106" s="3"/>
      <c r="M106" s="3"/>
      <c r="N106" s="3"/>
      <c r="O106" s="3"/>
      <c r="P106" s="3"/>
      <c r="Q106" s="3"/>
      <c r="R106" s="3"/>
      <c r="S106" s="3"/>
      <c r="T106" s="3"/>
      <c r="U106" s="3"/>
      <c r="V106" s="3"/>
      <c r="W106" s="3"/>
      <c r="X106" s="3"/>
      <c r="Y106" s="3"/>
      <c r="Z106" s="3"/>
    </row>
    <row r="107" ht="27.0" customHeight="1">
      <c r="A107" s="3" t="s">
        <v>9</v>
      </c>
      <c r="B107" s="4" t="s">
        <v>183</v>
      </c>
      <c r="C107" s="1">
        <v>26.0</v>
      </c>
      <c r="D107" s="3" t="s">
        <v>233</v>
      </c>
      <c r="E107" s="5" t="s">
        <v>234</v>
      </c>
      <c r="F107" s="5" t="s">
        <v>235</v>
      </c>
      <c r="G107" s="3">
        <f t="array" ref="G107">SUMPRODUCT(--(TRIM($E$2:$E$421)=TRIM(E107)))</f>
        <v>1</v>
      </c>
      <c r="H107" s="3" t="s">
        <v>39</v>
      </c>
      <c r="I107" s="3" t="s">
        <v>40</v>
      </c>
      <c r="J107" s="5"/>
      <c r="K107" s="3"/>
      <c r="L107" s="3"/>
      <c r="M107" s="3"/>
      <c r="N107" s="3"/>
      <c r="O107" s="3"/>
      <c r="P107" s="3"/>
      <c r="Q107" s="3"/>
      <c r="R107" s="3"/>
      <c r="S107" s="3"/>
      <c r="T107" s="3"/>
      <c r="U107" s="3"/>
      <c r="V107" s="3"/>
      <c r="W107" s="3"/>
      <c r="X107" s="3"/>
      <c r="Y107" s="3"/>
      <c r="Z107" s="3"/>
    </row>
    <row r="108" ht="27.0" customHeight="1">
      <c r="A108" s="3" t="s">
        <v>9</v>
      </c>
      <c r="B108" s="4" t="s">
        <v>183</v>
      </c>
      <c r="C108" s="1">
        <v>27.0</v>
      </c>
      <c r="D108" s="3" t="s">
        <v>236</v>
      </c>
      <c r="E108" s="5" t="s">
        <v>237</v>
      </c>
      <c r="F108" s="5" t="s">
        <v>238</v>
      </c>
      <c r="G108" s="3">
        <f t="array" ref="G108">SUMPRODUCT(--(TRIM($E$2:$E$421)=TRIM(E108)))</f>
        <v>2</v>
      </c>
      <c r="H108" s="3" t="s">
        <v>22</v>
      </c>
      <c r="I108" s="3" t="s">
        <v>80</v>
      </c>
      <c r="J108" s="5"/>
      <c r="K108" s="3"/>
      <c r="L108" s="3"/>
      <c r="M108" s="3"/>
      <c r="N108" s="3"/>
      <c r="O108" s="3"/>
      <c r="P108" s="3"/>
      <c r="Q108" s="3"/>
      <c r="R108" s="3"/>
      <c r="S108" s="3"/>
      <c r="T108" s="3"/>
      <c r="U108" s="3"/>
      <c r="V108" s="3"/>
      <c r="W108" s="3"/>
      <c r="X108" s="3"/>
      <c r="Y108" s="3"/>
      <c r="Z108" s="3"/>
    </row>
    <row r="109" ht="27.0" customHeight="1">
      <c r="A109" s="3" t="s">
        <v>9</v>
      </c>
      <c r="B109" s="4" t="s">
        <v>183</v>
      </c>
      <c r="C109" s="1">
        <v>28.0</v>
      </c>
      <c r="D109" s="3" t="s">
        <v>239</v>
      </c>
      <c r="E109" s="3" t="s">
        <v>240</v>
      </c>
      <c r="F109" s="5" t="s">
        <v>241</v>
      </c>
      <c r="G109" s="3">
        <f t="array" ref="G109">SUMPRODUCT(--(TRIM($E$2:$E$421)=TRIM(E109)))</f>
        <v>2</v>
      </c>
      <c r="H109" s="3" t="s">
        <v>27</v>
      </c>
      <c r="I109" s="3" t="s">
        <v>222</v>
      </c>
      <c r="J109" s="3"/>
      <c r="K109" s="3"/>
      <c r="L109" s="3"/>
      <c r="M109" s="3"/>
      <c r="N109" s="3"/>
      <c r="O109" s="3"/>
      <c r="P109" s="3"/>
      <c r="Q109" s="3"/>
      <c r="R109" s="3"/>
      <c r="S109" s="3"/>
      <c r="T109" s="3"/>
      <c r="U109" s="3"/>
      <c r="V109" s="3"/>
      <c r="W109" s="3"/>
      <c r="X109" s="3"/>
      <c r="Y109" s="3"/>
      <c r="Z109" s="3"/>
    </row>
    <row r="110" ht="27.0" customHeight="1">
      <c r="A110" s="3" t="s">
        <v>9</v>
      </c>
      <c r="B110" s="4" t="s">
        <v>183</v>
      </c>
      <c r="C110" s="1">
        <v>29.0</v>
      </c>
      <c r="D110" s="3" t="s">
        <v>242</v>
      </c>
      <c r="E110" s="5" t="s">
        <v>243</v>
      </c>
      <c r="F110" s="5" t="s">
        <v>244</v>
      </c>
      <c r="G110" s="3">
        <f t="array" ref="G110">SUMPRODUCT(--(TRIM($E$2:$E$421)=TRIM(E110)))</f>
        <v>1</v>
      </c>
      <c r="H110" s="3" t="s">
        <v>190</v>
      </c>
      <c r="I110" s="3" t="s">
        <v>245</v>
      </c>
      <c r="J110" s="5"/>
      <c r="K110" s="3"/>
      <c r="L110" s="3"/>
      <c r="M110" s="3"/>
      <c r="N110" s="3"/>
      <c r="O110" s="3"/>
      <c r="P110" s="3"/>
      <c r="Q110" s="3"/>
      <c r="R110" s="3"/>
      <c r="S110" s="3"/>
      <c r="T110" s="3"/>
      <c r="U110" s="3"/>
      <c r="V110" s="3"/>
      <c r="W110" s="3"/>
      <c r="X110" s="3"/>
      <c r="Y110" s="3"/>
      <c r="Z110" s="3"/>
    </row>
    <row r="111" ht="27.0" customHeight="1">
      <c r="A111" s="3" t="s">
        <v>9</v>
      </c>
      <c r="B111" s="4" t="s">
        <v>183</v>
      </c>
      <c r="C111" s="1">
        <v>30.0</v>
      </c>
      <c r="D111" s="3" t="s">
        <v>246</v>
      </c>
      <c r="E111" s="5" t="s">
        <v>247</v>
      </c>
      <c r="F111" s="5" t="s">
        <v>248</v>
      </c>
      <c r="G111" s="3">
        <f t="array" ref="G111">SUMPRODUCT(--(TRIM($E$2:$E$421)=TRIM(E111)))</f>
        <v>4</v>
      </c>
      <c r="H111" s="3" t="s">
        <v>87</v>
      </c>
      <c r="I111" s="3" t="s">
        <v>88</v>
      </c>
      <c r="J111" s="5"/>
      <c r="K111" s="3"/>
      <c r="L111" s="3"/>
      <c r="M111" s="3"/>
      <c r="N111" s="3"/>
      <c r="O111" s="3"/>
      <c r="P111" s="3"/>
      <c r="Q111" s="3"/>
      <c r="R111" s="3"/>
      <c r="S111" s="3"/>
      <c r="T111" s="3"/>
      <c r="U111" s="3"/>
      <c r="V111" s="3"/>
      <c r="W111" s="3"/>
      <c r="X111" s="3"/>
      <c r="Y111" s="3"/>
      <c r="Z111" s="3"/>
    </row>
    <row r="112" ht="27.0" customHeight="1">
      <c r="A112" s="3" t="s">
        <v>9</v>
      </c>
      <c r="B112" s="4" t="s">
        <v>183</v>
      </c>
      <c r="C112" s="1">
        <v>31.0</v>
      </c>
      <c r="D112" s="3" t="s">
        <v>249</v>
      </c>
      <c r="E112" s="5" t="s">
        <v>250</v>
      </c>
      <c r="F112" s="5" t="s">
        <v>251</v>
      </c>
      <c r="G112" s="3">
        <f t="array" ref="G112">SUMPRODUCT(--(TRIM($E$2:$E$421)=TRIM(E112)))</f>
        <v>5</v>
      </c>
      <c r="H112" s="3" t="s">
        <v>214</v>
      </c>
      <c r="I112" s="3" t="s">
        <v>215</v>
      </c>
      <c r="J112" s="5"/>
      <c r="K112" s="3"/>
      <c r="L112" s="3"/>
      <c r="M112" s="3"/>
      <c r="N112" s="3"/>
      <c r="O112" s="3"/>
      <c r="P112" s="3"/>
      <c r="Q112" s="3"/>
      <c r="R112" s="3"/>
      <c r="S112" s="3"/>
      <c r="T112" s="3"/>
      <c r="U112" s="3"/>
      <c r="V112" s="3"/>
      <c r="W112" s="3"/>
      <c r="X112" s="3"/>
      <c r="Y112" s="3"/>
      <c r="Z112" s="3"/>
    </row>
    <row r="113" ht="27.0" customHeight="1">
      <c r="A113" s="9" t="s">
        <v>9</v>
      </c>
      <c r="B113" s="4" t="s">
        <v>183</v>
      </c>
      <c r="C113" s="10">
        <v>32.0</v>
      </c>
      <c r="D113" s="9" t="s">
        <v>46</v>
      </c>
      <c r="E113" s="5" t="s">
        <v>47</v>
      </c>
      <c r="F113" s="5" t="s">
        <v>48</v>
      </c>
      <c r="G113" s="3">
        <f t="array" ref="G113">SUMPRODUCT(--(TRIM($E$2:$E$421)=TRIM(E113)))</f>
        <v>6</v>
      </c>
      <c r="H113" s="3" t="s">
        <v>49</v>
      </c>
      <c r="I113" s="3" t="s">
        <v>50</v>
      </c>
      <c r="J113" s="5"/>
      <c r="K113" s="3"/>
      <c r="L113" s="3"/>
      <c r="M113" s="3"/>
      <c r="N113" s="3"/>
      <c r="O113" s="3"/>
      <c r="P113" s="3"/>
      <c r="Q113" s="3"/>
      <c r="R113" s="3"/>
      <c r="S113" s="3"/>
      <c r="T113" s="3"/>
      <c r="U113" s="3"/>
      <c r="V113" s="3"/>
      <c r="W113" s="3"/>
      <c r="X113" s="3"/>
      <c r="Y113" s="3"/>
      <c r="Z113" s="3"/>
    </row>
    <row r="114" ht="27.0" customHeight="1">
      <c r="A114" s="3" t="s">
        <v>9</v>
      </c>
      <c r="B114" s="4" t="s">
        <v>183</v>
      </c>
      <c r="C114" s="1">
        <v>33.0</v>
      </c>
      <c r="D114" s="3" t="s">
        <v>252</v>
      </c>
      <c r="E114" s="5" t="s">
        <v>253</v>
      </c>
      <c r="F114" s="5" t="s">
        <v>254</v>
      </c>
      <c r="G114" s="3">
        <f t="array" ref="G114">SUMPRODUCT(--(TRIM($E$2:$E$421)=TRIM(E114)))</f>
        <v>3</v>
      </c>
      <c r="H114" s="3" t="s">
        <v>35</v>
      </c>
      <c r="I114" s="3" t="s">
        <v>36</v>
      </c>
      <c r="J114" s="5"/>
      <c r="K114" s="3"/>
      <c r="L114" s="3"/>
      <c r="M114" s="3"/>
      <c r="N114" s="3"/>
      <c r="O114" s="3"/>
      <c r="P114" s="3"/>
      <c r="Q114" s="3"/>
      <c r="R114" s="3"/>
      <c r="S114" s="3"/>
      <c r="T114" s="3"/>
      <c r="U114" s="3"/>
      <c r="V114" s="3"/>
      <c r="W114" s="3"/>
      <c r="X114" s="3"/>
      <c r="Y114" s="3"/>
      <c r="Z114" s="3"/>
    </row>
    <row r="115" ht="27.0" customHeight="1">
      <c r="A115" s="3" t="s">
        <v>9</v>
      </c>
      <c r="B115" s="4" t="s">
        <v>183</v>
      </c>
      <c r="C115" s="1">
        <v>34.0</v>
      </c>
      <c r="D115" s="3" t="s">
        <v>160</v>
      </c>
      <c r="E115" s="5" t="s">
        <v>161</v>
      </c>
      <c r="F115" s="5" t="s">
        <v>162</v>
      </c>
      <c r="G115" s="3">
        <f t="array" ref="G115">SUMPRODUCT(--(TRIM($E$2:$E$421)=TRIM(E115)))</f>
        <v>4</v>
      </c>
      <c r="H115" s="3" t="s">
        <v>22</v>
      </c>
      <c r="I115" s="3" t="s">
        <v>80</v>
      </c>
      <c r="J115" s="5"/>
      <c r="K115" s="3"/>
      <c r="L115" s="3"/>
      <c r="M115" s="3"/>
      <c r="N115" s="3"/>
      <c r="O115" s="3"/>
      <c r="P115" s="3"/>
      <c r="Q115" s="3"/>
      <c r="R115" s="3"/>
      <c r="S115" s="3"/>
      <c r="T115" s="3"/>
      <c r="U115" s="3"/>
      <c r="V115" s="3"/>
      <c r="W115" s="3"/>
      <c r="X115" s="3"/>
      <c r="Y115" s="3"/>
      <c r="Z115" s="3"/>
    </row>
    <row r="116" ht="27.0" customHeight="1">
      <c r="A116" s="3" t="s">
        <v>9</v>
      </c>
      <c r="B116" s="4" t="s">
        <v>183</v>
      </c>
      <c r="C116" s="1">
        <v>35.0</v>
      </c>
      <c r="D116" s="3" t="s">
        <v>255</v>
      </c>
      <c r="E116" s="5" t="s">
        <v>256</v>
      </c>
      <c r="F116" s="5" t="s">
        <v>257</v>
      </c>
      <c r="G116" s="3">
        <f t="array" ref="G116">SUMPRODUCT(--(TRIM($E$2:$E$421)=TRIM(E116)))</f>
        <v>1</v>
      </c>
      <c r="H116" s="3" t="s">
        <v>124</v>
      </c>
      <c r="I116" s="3" t="s">
        <v>125</v>
      </c>
      <c r="J116" s="5"/>
      <c r="K116" s="3"/>
      <c r="L116" s="3"/>
      <c r="M116" s="3"/>
      <c r="N116" s="3"/>
      <c r="O116" s="3"/>
      <c r="P116" s="3"/>
      <c r="Q116" s="3"/>
      <c r="R116" s="3"/>
      <c r="S116" s="3"/>
      <c r="T116" s="3"/>
      <c r="U116" s="3"/>
      <c r="V116" s="3"/>
      <c r="W116" s="3"/>
      <c r="X116" s="3"/>
      <c r="Y116" s="3"/>
      <c r="Z116" s="3"/>
    </row>
    <row r="117" ht="27.0" customHeight="1">
      <c r="A117" s="3" t="s">
        <v>9</v>
      </c>
      <c r="B117" s="4" t="s">
        <v>183</v>
      </c>
      <c r="C117" s="1">
        <v>36.0</v>
      </c>
      <c r="D117" s="3" t="s">
        <v>258</v>
      </c>
      <c r="E117" s="5" t="s">
        <v>259</v>
      </c>
      <c r="F117" s="5" t="s">
        <v>260</v>
      </c>
      <c r="G117" s="3">
        <f t="array" ref="G117">SUMPRODUCT(--(TRIM($E$2:$E$421)=TRIM(E117)))</f>
        <v>1</v>
      </c>
      <c r="H117" s="3" t="s">
        <v>22</v>
      </c>
      <c r="I117" s="3" t="s">
        <v>80</v>
      </c>
      <c r="J117" s="5"/>
      <c r="K117" s="3"/>
      <c r="L117" s="3"/>
      <c r="M117" s="3"/>
      <c r="N117" s="3"/>
      <c r="O117" s="3"/>
      <c r="P117" s="3"/>
      <c r="Q117" s="3"/>
      <c r="R117" s="3"/>
      <c r="S117" s="3"/>
      <c r="T117" s="3"/>
      <c r="U117" s="3"/>
      <c r="V117" s="3"/>
      <c r="W117" s="3"/>
      <c r="X117" s="3"/>
      <c r="Y117" s="3"/>
      <c r="Z117" s="3"/>
    </row>
    <row r="118" ht="27.0" customHeight="1">
      <c r="A118" s="3" t="s">
        <v>9</v>
      </c>
      <c r="B118" s="4" t="s">
        <v>183</v>
      </c>
      <c r="C118" s="1">
        <v>37.0</v>
      </c>
      <c r="D118" s="3" t="s">
        <v>261</v>
      </c>
      <c r="E118" s="5" t="s">
        <v>262</v>
      </c>
      <c r="F118" s="5" t="s">
        <v>263</v>
      </c>
      <c r="G118" s="3">
        <f t="array" ref="G118">SUMPRODUCT(--(TRIM($E$2:$E$421)=TRIM(E118)))</f>
        <v>1</v>
      </c>
      <c r="H118" s="3" t="s">
        <v>199</v>
      </c>
      <c r="I118" s="3" t="s">
        <v>264</v>
      </c>
      <c r="J118" s="5"/>
      <c r="K118" s="3"/>
      <c r="L118" s="3"/>
      <c r="M118" s="3"/>
      <c r="N118" s="3"/>
      <c r="O118" s="3"/>
      <c r="P118" s="3"/>
      <c r="Q118" s="3"/>
      <c r="R118" s="3"/>
      <c r="S118" s="3"/>
      <c r="T118" s="3"/>
      <c r="U118" s="3"/>
      <c r="V118" s="3"/>
      <c r="W118" s="3"/>
      <c r="X118" s="3"/>
      <c r="Y118" s="3"/>
      <c r="Z118" s="3"/>
    </row>
    <row r="119" ht="27.0" customHeight="1">
      <c r="A119" s="3" t="s">
        <v>9</v>
      </c>
      <c r="B119" s="4" t="s">
        <v>183</v>
      </c>
      <c r="C119" s="1">
        <v>38.0</v>
      </c>
      <c r="D119" s="3" t="s">
        <v>265</v>
      </c>
      <c r="E119" s="5" t="s">
        <v>266</v>
      </c>
      <c r="F119" s="5" t="s">
        <v>267</v>
      </c>
      <c r="G119" s="3">
        <f t="array" ref="G119">SUMPRODUCT(--(TRIM($E$2:$E$421)=TRIM(E119)))</f>
        <v>2</v>
      </c>
      <c r="H119" s="3" t="s">
        <v>268</v>
      </c>
      <c r="I119" s="3" t="s">
        <v>269</v>
      </c>
      <c r="J119" s="5"/>
      <c r="K119" s="3"/>
      <c r="L119" s="3"/>
      <c r="M119" s="3"/>
      <c r="N119" s="3"/>
      <c r="O119" s="3"/>
      <c r="P119" s="3"/>
      <c r="Q119" s="3"/>
      <c r="R119" s="3"/>
      <c r="S119" s="3"/>
      <c r="T119" s="3"/>
      <c r="U119" s="3"/>
      <c r="V119" s="3"/>
      <c r="W119" s="3"/>
      <c r="X119" s="3"/>
      <c r="Y119" s="3"/>
      <c r="Z119" s="3"/>
    </row>
    <row r="120" ht="27.0" customHeight="1">
      <c r="A120" s="3" t="s">
        <v>9</v>
      </c>
      <c r="B120" s="4" t="s">
        <v>183</v>
      </c>
      <c r="C120" s="1">
        <v>39.0</v>
      </c>
      <c r="D120" s="3" t="s">
        <v>270</v>
      </c>
      <c r="E120" s="5" t="s">
        <v>271</v>
      </c>
      <c r="F120" s="5" t="s">
        <v>272</v>
      </c>
      <c r="G120" s="3">
        <f t="array" ref="G120">SUMPRODUCT(--(TRIM($E$2:$E$421)=TRIM(E120)))</f>
        <v>3</v>
      </c>
      <c r="H120" s="3" t="s">
        <v>35</v>
      </c>
      <c r="I120" s="3" t="s">
        <v>36</v>
      </c>
      <c r="J120" s="5"/>
      <c r="K120" s="3"/>
      <c r="L120" s="3"/>
      <c r="M120" s="3"/>
      <c r="N120" s="3"/>
      <c r="O120" s="3"/>
      <c r="P120" s="3"/>
      <c r="Q120" s="3"/>
      <c r="R120" s="3"/>
      <c r="S120" s="3"/>
      <c r="T120" s="3"/>
      <c r="U120" s="3"/>
      <c r="V120" s="3"/>
      <c r="W120" s="3"/>
      <c r="X120" s="3"/>
      <c r="Y120" s="3"/>
      <c r="Z120" s="3"/>
    </row>
    <row r="121" ht="27.0" customHeight="1">
      <c r="A121" s="3" t="s">
        <v>9</v>
      </c>
      <c r="B121" s="4" t="s">
        <v>183</v>
      </c>
      <c r="C121" s="1">
        <v>40.0</v>
      </c>
      <c r="D121" s="3" t="s">
        <v>273</v>
      </c>
      <c r="E121" s="5" t="s">
        <v>274</v>
      </c>
      <c r="F121" s="5" t="s">
        <v>275</v>
      </c>
      <c r="G121" s="3">
        <f t="array" ref="G121">SUMPRODUCT(--(TRIM($E$2:$E$421)=TRIM(E121)))</f>
        <v>1</v>
      </c>
      <c r="H121" s="3" t="s">
        <v>276</v>
      </c>
      <c r="I121" s="3" t="s">
        <v>277</v>
      </c>
      <c r="J121" s="5"/>
      <c r="K121" s="3"/>
      <c r="L121" s="3"/>
      <c r="M121" s="3"/>
      <c r="N121" s="3"/>
      <c r="O121" s="3"/>
      <c r="P121" s="3"/>
      <c r="Q121" s="3"/>
      <c r="R121" s="3"/>
      <c r="S121" s="3"/>
      <c r="T121" s="3"/>
      <c r="U121" s="3"/>
      <c r="V121" s="3"/>
      <c r="W121" s="3"/>
      <c r="X121" s="3"/>
      <c r="Y121" s="3"/>
      <c r="Z121" s="3"/>
    </row>
    <row r="122" ht="27.0" customHeight="1">
      <c r="A122" s="3" t="s">
        <v>9</v>
      </c>
      <c r="B122" s="4" t="s">
        <v>278</v>
      </c>
      <c r="C122" s="1">
        <v>1.0</v>
      </c>
      <c r="D122" s="3" t="s">
        <v>41</v>
      </c>
      <c r="E122" s="5" t="s">
        <v>42</v>
      </c>
      <c r="F122" s="5" t="s">
        <v>43</v>
      </c>
      <c r="G122" s="3">
        <f t="array" ref="G122">SUMPRODUCT(--(TRIM($E$2:$E$421)=TRIM(E122)))</f>
        <v>5</v>
      </c>
      <c r="H122" s="3" t="s">
        <v>44</v>
      </c>
      <c r="I122" s="3" t="s">
        <v>45</v>
      </c>
      <c r="J122" s="5"/>
      <c r="K122" s="3"/>
      <c r="L122" s="3"/>
      <c r="M122" s="3"/>
      <c r="N122" s="3"/>
      <c r="O122" s="3"/>
      <c r="P122" s="3"/>
      <c r="Q122" s="3"/>
      <c r="R122" s="3"/>
      <c r="S122" s="3"/>
      <c r="T122" s="3"/>
      <c r="U122" s="3"/>
      <c r="V122" s="3"/>
      <c r="W122" s="3"/>
      <c r="X122" s="3"/>
      <c r="Y122" s="3"/>
      <c r="Z122" s="3"/>
    </row>
    <row r="123" ht="27.0" customHeight="1">
      <c r="A123" s="3" t="s">
        <v>9</v>
      </c>
      <c r="B123" s="4" t="s">
        <v>278</v>
      </c>
      <c r="C123" s="1">
        <v>2.0</v>
      </c>
      <c r="D123" s="3" t="s">
        <v>173</v>
      </c>
      <c r="E123" s="5" t="s">
        <v>174</v>
      </c>
      <c r="F123" s="5" t="s">
        <v>175</v>
      </c>
      <c r="G123" s="3">
        <f t="array" ref="G123">SUMPRODUCT(--(TRIM($E$2:$E$421)=TRIM(E123)))</f>
        <v>3</v>
      </c>
      <c r="H123" s="3" t="s">
        <v>64</v>
      </c>
      <c r="I123" s="3" t="s">
        <v>176</v>
      </c>
      <c r="J123" s="5"/>
      <c r="K123" s="3"/>
      <c r="L123" s="3"/>
      <c r="M123" s="3"/>
      <c r="N123" s="3"/>
      <c r="O123" s="3"/>
      <c r="P123" s="3"/>
      <c r="Q123" s="3"/>
      <c r="R123" s="3"/>
      <c r="S123" s="3"/>
      <c r="T123" s="3"/>
      <c r="U123" s="3"/>
      <c r="V123" s="3"/>
      <c r="W123" s="3"/>
      <c r="X123" s="3"/>
      <c r="Y123" s="3"/>
      <c r="Z123" s="3"/>
    </row>
    <row r="124" ht="27.0" customHeight="1">
      <c r="A124" s="3" t="s">
        <v>9</v>
      </c>
      <c r="B124" s="4" t="s">
        <v>278</v>
      </c>
      <c r="C124" s="1">
        <v>3.0</v>
      </c>
      <c r="D124" s="5" t="s">
        <v>279</v>
      </c>
      <c r="E124" s="5" t="s">
        <v>280</v>
      </c>
      <c r="F124" s="5" t="s">
        <v>281</v>
      </c>
      <c r="G124" s="3">
        <f t="array" ref="G124">SUMPRODUCT(--(TRIM($E$2:$E$421)=TRIM(E124)))</f>
        <v>1</v>
      </c>
      <c r="H124" s="3" t="s">
        <v>14</v>
      </c>
      <c r="I124" s="3" t="s">
        <v>110</v>
      </c>
      <c r="J124" s="5"/>
      <c r="K124" s="3"/>
      <c r="L124" s="3"/>
      <c r="M124" s="3"/>
      <c r="N124" s="3"/>
      <c r="O124" s="3"/>
      <c r="P124" s="3"/>
      <c r="Q124" s="3"/>
      <c r="R124" s="3"/>
      <c r="S124" s="3"/>
      <c r="T124" s="3"/>
      <c r="U124" s="3"/>
      <c r="V124" s="3"/>
      <c r="W124" s="3"/>
      <c r="X124" s="3"/>
      <c r="Y124" s="3"/>
      <c r="Z124" s="3"/>
    </row>
    <row r="125" ht="27.0" customHeight="1">
      <c r="A125" s="3" t="s">
        <v>9</v>
      </c>
      <c r="B125" s="4" t="s">
        <v>278</v>
      </c>
      <c r="C125" s="1">
        <v>4.0</v>
      </c>
      <c r="D125" s="5" t="s">
        <v>282</v>
      </c>
      <c r="E125" s="5" t="s">
        <v>283</v>
      </c>
      <c r="F125" s="5" t="s">
        <v>284</v>
      </c>
      <c r="G125" s="3">
        <f t="array" ref="G125">SUMPRODUCT(--(TRIM($E$2:$E$421)=TRIM(E125)))</f>
        <v>2</v>
      </c>
      <c r="H125" s="3" t="s">
        <v>285</v>
      </c>
      <c r="I125" s="3" t="s">
        <v>60</v>
      </c>
      <c r="J125" s="5"/>
      <c r="K125" s="3"/>
      <c r="L125" s="3"/>
      <c r="M125" s="3"/>
      <c r="N125" s="3"/>
      <c r="O125" s="3"/>
      <c r="P125" s="3"/>
      <c r="Q125" s="3"/>
      <c r="R125" s="3"/>
      <c r="S125" s="3"/>
      <c r="T125" s="3"/>
      <c r="U125" s="3"/>
      <c r="V125" s="3"/>
      <c r="W125" s="3"/>
      <c r="X125" s="3"/>
      <c r="Y125" s="3"/>
      <c r="Z125" s="3"/>
    </row>
    <row r="126" ht="27.0" customHeight="1">
      <c r="A126" s="3" t="s">
        <v>9</v>
      </c>
      <c r="B126" s="4" t="s">
        <v>278</v>
      </c>
      <c r="C126" s="1">
        <v>5.0</v>
      </c>
      <c r="D126" s="3" t="s">
        <v>32</v>
      </c>
      <c r="E126" s="3" t="s">
        <v>286</v>
      </c>
      <c r="F126" s="5" t="s">
        <v>287</v>
      </c>
      <c r="G126" s="3">
        <f t="array" ref="G126">SUMPRODUCT(--(TRIM($E$2:$E$421)=TRIM(E126)))</f>
        <v>2</v>
      </c>
      <c r="H126" s="3" t="s">
        <v>141</v>
      </c>
      <c r="I126" s="3" t="s">
        <v>55</v>
      </c>
      <c r="J126" s="3"/>
      <c r="K126" s="3"/>
      <c r="L126" s="3"/>
      <c r="M126" s="3"/>
      <c r="N126" s="3"/>
      <c r="O126" s="3"/>
      <c r="P126" s="3"/>
      <c r="Q126" s="3"/>
      <c r="R126" s="3"/>
      <c r="S126" s="3"/>
      <c r="T126" s="3"/>
      <c r="U126" s="3"/>
      <c r="V126" s="3"/>
      <c r="W126" s="3"/>
      <c r="X126" s="3"/>
      <c r="Y126" s="3"/>
      <c r="Z126" s="3"/>
    </row>
    <row r="127" ht="27.0" customHeight="1">
      <c r="A127" s="3" t="s">
        <v>9</v>
      </c>
      <c r="B127" s="4" t="s">
        <v>278</v>
      </c>
      <c r="C127" s="1">
        <v>6.0</v>
      </c>
      <c r="D127" s="3" t="s">
        <v>142</v>
      </c>
      <c r="E127" s="5" t="s">
        <v>143</v>
      </c>
      <c r="F127" s="5" t="s">
        <v>144</v>
      </c>
      <c r="G127" s="3">
        <f t="array" ref="G127">SUMPRODUCT(--(TRIM($E$2:$E$421)=TRIM(E127)))</f>
        <v>6</v>
      </c>
      <c r="H127" s="3" t="s">
        <v>145</v>
      </c>
      <c r="I127" s="3" t="s">
        <v>146</v>
      </c>
      <c r="J127" s="5"/>
      <c r="K127" s="3"/>
      <c r="L127" s="3"/>
      <c r="M127" s="3"/>
      <c r="N127" s="3"/>
      <c r="O127" s="3"/>
      <c r="P127" s="3"/>
      <c r="Q127" s="3"/>
      <c r="R127" s="3"/>
      <c r="S127" s="3"/>
      <c r="T127" s="3"/>
      <c r="U127" s="3"/>
      <c r="V127" s="3"/>
      <c r="W127" s="3"/>
      <c r="X127" s="3"/>
      <c r="Y127" s="3"/>
      <c r="Z127" s="3"/>
    </row>
    <row r="128" ht="27.0" customHeight="1">
      <c r="A128" s="3" t="s">
        <v>9</v>
      </c>
      <c r="B128" s="4" t="s">
        <v>278</v>
      </c>
      <c r="C128" s="1">
        <v>7.0</v>
      </c>
      <c r="D128" s="3" t="s">
        <v>288</v>
      </c>
      <c r="E128" s="5" t="s">
        <v>289</v>
      </c>
      <c r="F128" s="5" t="s">
        <v>290</v>
      </c>
      <c r="G128" s="3">
        <f t="array" ref="G128">SUMPRODUCT(--(TRIM($E$2:$E$421)=TRIM(E128)))</f>
        <v>2</v>
      </c>
      <c r="H128" s="3" t="s">
        <v>54</v>
      </c>
      <c r="I128" s="3" t="s">
        <v>102</v>
      </c>
      <c r="J128" s="5"/>
      <c r="K128" s="3"/>
      <c r="L128" s="3"/>
      <c r="M128" s="3"/>
      <c r="N128" s="3"/>
      <c r="O128" s="3"/>
      <c r="P128" s="3"/>
      <c r="Q128" s="3"/>
      <c r="R128" s="3"/>
      <c r="S128" s="3"/>
      <c r="T128" s="3"/>
      <c r="U128" s="3"/>
      <c r="V128" s="3"/>
      <c r="W128" s="3"/>
      <c r="X128" s="3"/>
      <c r="Y128" s="3"/>
      <c r="Z128" s="3"/>
    </row>
    <row r="129" ht="27.0" customHeight="1">
      <c r="A129" s="3" t="s">
        <v>9</v>
      </c>
      <c r="B129" s="4" t="s">
        <v>278</v>
      </c>
      <c r="C129" s="1">
        <v>8.0</v>
      </c>
      <c r="D129" s="3" t="s">
        <v>61</v>
      </c>
      <c r="E129" s="5" t="s">
        <v>62</v>
      </c>
      <c r="F129" s="5" t="s">
        <v>63</v>
      </c>
      <c r="G129" s="3">
        <f t="array" ref="G129">SUMPRODUCT(--(TRIM($E$2:$E$421)=TRIM(E129)))</f>
        <v>5</v>
      </c>
      <c r="H129" s="3" t="s">
        <v>64</v>
      </c>
      <c r="I129" s="3" t="s">
        <v>65</v>
      </c>
      <c r="J129" s="5"/>
      <c r="K129" s="3"/>
      <c r="L129" s="3"/>
      <c r="M129" s="3"/>
      <c r="N129" s="3"/>
      <c r="O129" s="3"/>
      <c r="P129" s="3"/>
      <c r="Q129" s="3"/>
      <c r="R129" s="3"/>
      <c r="S129" s="3"/>
      <c r="T129" s="3"/>
      <c r="U129" s="3"/>
      <c r="V129" s="3"/>
      <c r="W129" s="3"/>
      <c r="X129" s="3"/>
      <c r="Y129" s="3"/>
      <c r="Z129" s="3"/>
    </row>
    <row r="130" ht="27.0" customHeight="1">
      <c r="A130" s="3" t="s">
        <v>9</v>
      </c>
      <c r="B130" s="4" t="s">
        <v>278</v>
      </c>
      <c r="C130" s="1">
        <v>9.0</v>
      </c>
      <c r="D130" s="3" t="s">
        <v>16</v>
      </c>
      <c r="E130" s="5" t="s">
        <v>17</v>
      </c>
      <c r="F130" s="5" t="s">
        <v>18</v>
      </c>
      <c r="G130" s="3">
        <f t="array" ref="G130">SUMPRODUCT(--(TRIM($E$2:$E$421)=TRIM(E130)))</f>
        <v>6</v>
      </c>
      <c r="H130" s="3" t="s">
        <v>14</v>
      </c>
      <c r="I130" s="3" t="s">
        <v>15</v>
      </c>
      <c r="J130" s="5"/>
      <c r="K130" s="3"/>
      <c r="L130" s="3"/>
      <c r="M130" s="3"/>
      <c r="N130" s="3"/>
      <c r="O130" s="3"/>
      <c r="P130" s="3"/>
      <c r="Q130" s="3"/>
      <c r="R130" s="3"/>
      <c r="S130" s="3"/>
      <c r="T130" s="3"/>
      <c r="U130" s="3"/>
      <c r="V130" s="3"/>
      <c r="W130" s="3"/>
      <c r="X130" s="3"/>
      <c r="Y130" s="3"/>
      <c r="Z130" s="3"/>
    </row>
    <row r="131" ht="27.0" customHeight="1">
      <c r="A131" s="3" t="s">
        <v>9</v>
      </c>
      <c r="B131" s="4" t="s">
        <v>278</v>
      </c>
      <c r="C131" s="1">
        <v>10.0</v>
      </c>
      <c r="D131" s="3" t="s">
        <v>32</v>
      </c>
      <c r="E131" s="5" t="s">
        <v>291</v>
      </c>
      <c r="F131" s="5" t="s">
        <v>292</v>
      </c>
      <c r="G131" s="3">
        <f t="array" ref="G131">SUMPRODUCT(--(TRIM($E$2:$E$421)=TRIM(E131)))</f>
        <v>1</v>
      </c>
      <c r="H131" s="3" t="s">
        <v>170</v>
      </c>
      <c r="I131" s="3" t="s">
        <v>171</v>
      </c>
      <c r="J131" s="5"/>
      <c r="K131" s="3"/>
      <c r="L131" s="3"/>
      <c r="M131" s="3"/>
      <c r="N131" s="3"/>
      <c r="O131" s="3"/>
      <c r="P131" s="3"/>
      <c r="Q131" s="3"/>
      <c r="R131" s="3"/>
      <c r="S131" s="3"/>
      <c r="T131" s="3"/>
      <c r="U131" s="3"/>
      <c r="V131" s="3"/>
      <c r="W131" s="3"/>
      <c r="X131" s="3"/>
      <c r="Y131" s="3"/>
      <c r="Z131" s="3"/>
    </row>
    <row r="132" ht="27.0" customHeight="1">
      <c r="A132" s="3" t="s">
        <v>9</v>
      </c>
      <c r="B132" s="4" t="s">
        <v>278</v>
      </c>
      <c r="C132" s="1">
        <v>11.0</v>
      </c>
      <c r="D132" s="5" t="s">
        <v>293</v>
      </c>
      <c r="E132" s="5" t="s">
        <v>294</v>
      </c>
      <c r="F132" s="5" t="s">
        <v>295</v>
      </c>
      <c r="G132" s="3">
        <f t="array" ref="G132">SUMPRODUCT(--(TRIM($E$2:$E$421)=TRIM(E132)))</f>
        <v>1</v>
      </c>
      <c r="H132" s="3" t="s">
        <v>141</v>
      </c>
      <c r="I132" s="3" t="s">
        <v>55</v>
      </c>
      <c r="J132" s="5"/>
      <c r="K132" s="3"/>
      <c r="L132" s="3"/>
      <c r="M132" s="3"/>
      <c r="N132" s="3"/>
      <c r="O132" s="3"/>
      <c r="P132" s="3"/>
      <c r="Q132" s="3"/>
      <c r="R132" s="3"/>
      <c r="S132" s="3"/>
      <c r="T132" s="3"/>
      <c r="U132" s="3"/>
      <c r="V132" s="3"/>
      <c r="W132" s="3"/>
      <c r="X132" s="3"/>
      <c r="Y132" s="3"/>
      <c r="Z132" s="3"/>
    </row>
    <row r="133" ht="27.0" customHeight="1">
      <c r="A133" s="3" t="s">
        <v>9</v>
      </c>
      <c r="B133" s="4" t="s">
        <v>278</v>
      </c>
      <c r="C133" s="1">
        <v>12.0</v>
      </c>
      <c r="D133" s="3" t="s">
        <v>296</v>
      </c>
      <c r="E133" s="5" t="s">
        <v>297</v>
      </c>
      <c r="F133" s="5" t="s">
        <v>298</v>
      </c>
      <c r="G133" s="3">
        <f t="array" ref="G133">SUMPRODUCT(--(TRIM($E$2:$E$421)=TRIM(E133)))</f>
        <v>2</v>
      </c>
      <c r="H133" s="3" t="s">
        <v>141</v>
      </c>
      <c r="I133" s="3" t="s">
        <v>55</v>
      </c>
      <c r="J133" s="5"/>
      <c r="K133" s="3"/>
      <c r="L133" s="3"/>
      <c r="M133" s="3"/>
      <c r="N133" s="3"/>
      <c r="O133" s="3"/>
      <c r="P133" s="3"/>
      <c r="Q133" s="3"/>
      <c r="R133" s="3"/>
      <c r="S133" s="3"/>
      <c r="T133" s="3"/>
      <c r="U133" s="3"/>
      <c r="V133" s="3"/>
      <c r="W133" s="3"/>
      <c r="X133" s="3"/>
      <c r="Y133" s="3"/>
      <c r="Z133" s="3"/>
    </row>
    <row r="134" ht="27.0" customHeight="1">
      <c r="A134" s="3" t="s">
        <v>9</v>
      </c>
      <c r="B134" s="4" t="s">
        <v>278</v>
      </c>
      <c r="C134" s="1">
        <v>13.0</v>
      </c>
      <c r="D134" s="3" t="s">
        <v>32</v>
      </c>
      <c r="E134" s="5" t="s">
        <v>299</v>
      </c>
      <c r="F134" s="5" t="s">
        <v>300</v>
      </c>
      <c r="G134" s="3">
        <f t="array" ref="G134">SUMPRODUCT(--(TRIM($E$2:$E$421)=TRIM(E134)))</f>
        <v>1</v>
      </c>
      <c r="H134" s="3" t="s">
        <v>301</v>
      </c>
      <c r="I134" s="3" t="s">
        <v>302</v>
      </c>
      <c r="J134" s="5"/>
      <c r="K134" s="3"/>
      <c r="L134" s="3"/>
      <c r="M134" s="3"/>
      <c r="N134" s="3"/>
      <c r="O134" s="3"/>
      <c r="P134" s="3"/>
      <c r="Q134" s="3"/>
      <c r="R134" s="3"/>
      <c r="S134" s="3"/>
      <c r="T134" s="3"/>
      <c r="U134" s="3"/>
      <c r="V134" s="3"/>
      <c r="W134" s="3"/>
      <c r="X134" s="3"/>
      <c r="Y134" s="3"/>
      <c r="Z134" s="3"/>
    </row>
    <row r="135" ht="27.0" customHeight="1">
      <c r="A135" s="3" t="s">
        <v>9</v>
      </c>
      <c r="B135" s="4" t="s">
        <v>278</v>
      </c>
      <c r="C135" s="1">
        <v>14.0</v>
      </c>
      <c r="D135" s="3" t="s">
        <v>51</v>
      </c>
      <c r="E135" s="5" t="s">
        <v>303</v>
      </c>
      <c r="F135" s="5" t="s">
        <v>304</v>
      </c>
      <c r="G135" s="3">
        <f t="array" ref="G135">SUMPRODUCT(--(TRIM($E$2:$E$421)=TRIM(E135)))</f>
        <v>1</v>
      </c>
      <c r="H135" s="3" t="s">
        <v>14</v>
      </c>
      <c r="I135" s="3" t="s">
        <v>180</v>
      </c>
      <c r="J135" s="5"/>
      <c r="K135" s="3"/>
      <c r="L135" s="3"/>
      <c r="M135" s="3"/>
      <c r="N135" s="3"/>
      <c r="O135" s="3"/>
      <c r="P135" s="3"/>
      <c r="Q135" s="3"/>
      <c r="R135" s="3"/>
      <c r="S135" s="3"/>
      <c r="T135" s="3"/>
      <c r="U135" s="3"/>
      <c r="V135" s="3"/>
      <c r="W135" s="3"/>
      <c r="X135" s="3"/>
      <c r="Y135" s="3"/>
      <c r="Z135" s="3"/>
    </row>
    <row r="136" ht="27.0" customHeight="1">
      <c r="A136" s="3" t="s">
        <v>9</v>
      </c>
      <c r="B136" s="4" t="s">
        <v>278</v>
      </c>
      <c r="C136" s="1">
        <v>15.0</v>
      </c>
      <c r="D136" s="3" t="s">
        <v>252</v>
      </c>
      <c r="E136" s="5" t="s">
        <v>305</v>
      </c>
      <c r="F136" s="5" t="s">
        <v>306</v>
      </c>
      <c r="G136" s="3">
        <f t="array" ref="G136">SUMPRODUCT(--(TRIM($E$2:$E$421)=TRIM(E136)))</f>
        <v>1</v>
      </c>
      <c r="H136" s="3" t="s">
        <v>35</v>
      </c>
      <c r="I136" s="3" t="s">
        <v>36</v>
      </c>
      <c r="J136" s="5"/>
      <c r="K136" s="3"/>
      <c r="L136" s="3"/>
      <c r="M136" s="3"/>
      <c r="N136" s="3"/>
      <c r="O136" s="3"/>
      <c r="P136" s="3"/>
      <c r="Q136" s="3"/>
      <c r="R136" s="3"/>
      <c r="S136" s="3"/>
      <c r="T136" s="3"/>
      <c r="U136" s="3"/>
      <c r="V136" s="3"/>
      <c r="W136" s="3"/>
      <c r="X136" s="3"/>
      <c r="Y136" s="3"/>
      <c r="Z136" s="3"/>
    </row>
    <row r="137" ht="27.0" customHeight="1">
      <c r="A137" s="3" t="s">
        <v>9</v>
      </c>
      <c r="B137" s="4" t="s">
        <v>278</v>
      </c>
      <c r="C137" s="1">
        <v>16.0</v>
      </c>
      <c r="D137" s="3" t="s">
        <v>307</v>
      </c>
      <c r="E137" s="5" t="s">
        <v>308</v>
      </c>
      <c r="F137" s="5" t="s">
        <v>309</v>
      </c>
      <c r="G137" s="3">
        <f t="array" ref="G137">SUMPRODUCT(--(TRIM($E$2:$E$421)=TRIM(E137)))</f>
        <v>1</v>
      </c>
      <c r="H137" s="3" t="s">
        <v>39</v>
      </c>
      <c r="I137" s="3" t="s">
        <v>40</v>
      </c>
      <c r="J137" s="5"/>
      <c r="K137" s="3"/>
      <c r="L137" s="3"/>
      <c r="M137" s="3"/>
      <c r="N137" s="3"/>
      <c r="O137" s="3"/>
      <c r="P137" s="3"/>
      <c r="Q137" s="3"/>
      <c r="R137" s="3"/>
      <c r="S137" s="3"/>
      <c r="T137" s="3"/>
      <c r="U137" s="3"/>
      <c r="V137" s="3"/>
      <c r="W137" s="3"/>
      <c r="X137" s="3"/>
      <c r="Y137" s="3"/>
      <c r="Z137" s="3"/>
    </row>
    <row r="138" ht="27.0" customHeight="1">
      <c r="A138" s="3" t="s">
        <v>9</v>
      </c>
      <c r="B138" s="4" t="s">
        <v>278</v>
      </c>
      <c r="C138" s="1">
        <v>17.0</v>
      </c>
      <c r="D138" s="3" t="s">
        <v>32</v>
      </c>
      <c r="E138" s="5" t="s">
        <v>310</v>
      </c>
      <c r="F138" s="5" t="s">
        <v>311</v>
      </c>
      <c r="G138" s="3">
        <f t="array" ref="G138">SUMPRODUCT(--(TRIM($E$2:$E$421)=TRIM(E138)))</f>
        <v>3</v>
      </c>
      <c r="H138" s="3" t="s">
        <v>285</v>
      </c>
      <c r="I138" s="3" t="s">
        <v>60</v>
      </c>
      <c r="J138" s="5"/>
      <c r="K138" s="3"/>
      <c r="L138" s="3"/>
      <c r="M138" s="3"/>
      <c r="N138" s="3"/>
      <c r="O138" s="3"/>
      <c r="P138" s="3"/>
      <c r="Q138" s="3"/>
      <c r="R138" s="3"/>
      <c r="S138" s="3"/>
      <c r="T138" s="3"/>
      <c r="U138" s="3"/>
      <c r="V138" s="3"/>
      <c r="W138" s="3"/>
      <c r="X138" s="3"/>
      <c r="Y138" s="3"/>
      <c r="Z138" s="3"/>
    </row>
    <row r="139" ht="27.0" customHeight="1">
      <c r="A139" s="3" t="s">
        <v>9</v>
      </c>
      <c r="B139" s="4" t="s">
        <v>278</v>
      </c>
      <c r="C139" s="1">
        <v>18.0</v>
      </c>
      <c r="D139" s="3" t="s">
        <v>246</v>
      </c>
      <c r="E139" s="5" t="s">
        <v>247</v>
      </c>
      <c r="F139" s="5" t="s">
        <v>248</v>
      </c>
      <c r="G139" s="3">
        <f t="array" ref="G139">SUMPRODUCT(--(TRIM($E$2:$E$421)=TRIM(E139)))</f>
        <v>4</v>
      </c>
      <c r="H139" s="3" t="s">
        <v>87</v>
      </c>
      <c r="I139" s="3" t="s">
        <v>88</v>
      </c>
      <c r="J139" s="5"/>
      <c r="K139" s="3"/>
      <c r="L139" s="3"/>
      <c r="M139" s="3"/>
      <c r="N139" s="3"/>
      <c r="O139" s="3"/>
      <c r="P139" s="3"/>
      <c r="Q139" s="3"/>
      <c r="R139" s="3"/>
      <c r="S139" s="3"/>
      <c r="T139" s="3"/>
      <c r="U139" s="3"/>
      <c r="V139" s="3"/>
      <c r="W139" s="3"/>
      <c r="X139" s="3"/>
      <c r="Y139" s="3"/>
      <c r="Z139" s="3"/>
    </row>
    <row r="140" ht="27.0" customHeight="1">
      <c r="A140" s="3" t="s">
        <v>9</v>
      </c>
      <c r="B140" s="4" t="s">
        <v>278</v>
      </c>
      <c r="C140" s="1">
        <v>19.0</v>
      </c>
      <c r="D140" s="3" t="s">
        <v>219</v>
      </c>
      <c r="E140" s="5" t="s">
        <v>220</v>
      </c>
      <c r="F140" s="5" t="s">
        <v>221</v>
      </c>
      <c r="G140" s="3">
        <f t="array" ref="G140">SUMPRODUCT(--(TRIM($E$2:$E$421)=TRIM(E140)))</f>
        <v>4</v>
      </c>
      <c r="H140" s="3" t="s">
        <v>27</v>
      </c>
      <c r="I140" s="3" t="s">
        <v>222</v>
      </c>
      <c r="J140" s="5"/>
      <c r="K140" s="3"/>
      <c r="L140" s="3"/>
      <c r="M140" s="3"/>
      <c r="N140" s="3"/>
      <c r="O140" s="3"/>
      <c r="P140" s="3"/>
      <c r="Q140" s="3"/>
      <c r="R140" s="3"/>
      <c r="S140" s="3"/>
      <c r="T140" s="3"/>
      <c r="U140" s="3"/>
      <c r="V140" s="3"/>
      <c r="W140" s="3"/>
      <c r="X140" s="3"/>
      <c r="Y140" s="3"/>
      <c r="Z140" s="3"/>
    </row>
    <row r="141" ht="27.0" customHeight="1">
      <c r="A141" s="3" t="s">
        <v>9</v>
      </c>
      <c r="B141" s="4" t="s">
        <v>278</v>
      </c>
      <c r="C141" s="1">
        <v>20.0</v>
      </c>
      <c r="D141" s="3" t="s">
        <v>32</v>
      </c>
      <c r="E141" s="5" t="s">
        <v>312</v>
      </c>
      <c r="F141" s="5" t="s">
        <v>313</v>
      </c>
      <c r="G141" s="3">
        <f t="array" ref="G141">SUMPRODUCT(--(TRIM($E$2:$E$421)=TRIM(E141)))</f>
        <v>1</v>
      </c>
      <c r="H141" s="3" t="s">
        <v>59</v>
      </c>
      <c r="I141" s="3" t="s">
        <v>60</v>
      </c>
      <c r="J141" s="5"/>
      <c r="K141" s="3"/>
      <c r="L141" s="3"/>
      <c r="M141" s="3"/>
      <c r="N141" s="3"/>
      <c r="O141" s="3"/>
      <c r="P141" s="3"/>
      <c r="Q141" s="3"/>
      <c r="R141" s="3"/>
      <c r="S141" s="3"/>
      <c r="T141" s="3"/>
      <c r="U141" s="3"/>
      <c r="V141" s="3"/>
      <c r="W141" s="3"/>
      <c r="X141" s="3"/>
      <c r="Y141" s="3"/>
      <c r="Z141" s="3"/>
    </row>
    <row r="142" ht="27.0" customHeight="1">
      <c r="A142" s="3" t="s">
        <v>9</v>
      </c>
      <c r="B142" s="4" t="s">
        <v>278</v>
      </c>
      <c r="C142" s="1">
        <v>21.0</v>
      </c>
      <c r="D142" s="3" t="s">
        <v>314</v>
      </c>
      <c r="E142" s="5" t="s">
        <v>315</v>
      </c>
      <c r="F142" s="5" t="s">
        <v>316</v>
      </c>
      <c r="G142" s="3">
        <f t="array" ref="G142">SUMPRODUCT(--(TRIM($E$2:$E$421)=TRIM(E142)))</f>
        <v>1</v>
      </c>
      <c r="H142" s="3" t="s">
        <v>317</v>
      </c>
      <c r="I142" s="3" t="s">
        <v>137</v>
      </c>
      <c r="J142" s="5"/>
      <c r="K142" s="3"/>
      <c r="L142" s="3"/>
      <c r="M142" s="3"/>
      <c r="N142" s="3"/>
      <c r="O142" s="3"/>
      <c r="P142" s="3"/>
      <c r="Q142" s="3"/>
      <c r="R142" s="3"/>
      <c r="S142" s="3"/>
      <c r="T142" s="3"/>
      <c r="U142" s="3"/>
      <c r="V142" s="3"/>
      <c r="W142" s="3"/>
      <c r="X142" s="3"/>
      <c r="Y142" s="3"/>
      <c r="Z142" s="3"/>
    </row>
    <row r="143" ht="27.0" customHeight="1">
      <c r="A143" s="3" t="s">
        <v>9</v>
      </c>
      <c r="B143" s="4" t="s">
        <v>278</v>
      </c>
      <c r="C143" s="1">
        <v>22.0</v>
      </c>
      <c r="D143" s="5" t="s">
        <v>318</v>
      </c>
      <c r="E143" s="5" t="s">
        <v>319</v>
      </c>
      <c r="F143" s="5" t="s">
        <v>320</v>
      </c>
      <c r="G143" s="3">
        <f t="array" ref="G143">SUMPRODUCT(--(TRIM($E$2:$E$421)=TRIM(E143)))</f>
        <v>1</v>
      </c>
      <c r="H143" s="3" t="s">
        <v>44</v>
      </c>
      <c r="I143" s="3" t="s">
        <v>45</v>
      </c>
      <c r="J143" s="5"/>
      <c r="K143" s="3"/>
      <c r="L143" s="3"/>
      <c r="M143" s="3"/>
      <c r="N143" s="3"/>
      <c r="O143" s="3"/>
      <c r="P143" s="3"/>
      <c r="Q143" s="3"/>
      <c r="R143" s="3"/>
      <c r="S143" s="3"/>
      <c r="T143" s="3"/>
      <c r="U143" s="3"/>
      <c r="V143" s="3"/>
      <c r="W143" s="3"/>
      <c r="X143" s="3"/>
      <c r="Y143" s="3"/>
      <c r="Z143" s="3"/>
    </row>
    <row r="144" ht="27.0" customHeight="1">
      <c r="A144" s="3" t="s">
        <v>9</v>
      </c>
      <c r="B144" s="4" t="s">
        <v>278</v>
      </c>
      <c r="C144" s="1">
        <v>23.0</v>
      </c>
      <c r="D144" s="3" t="s">
        <v>321</v>
      </c>
      <c r="E144" s="5" t="s">
        <v>71</v>
      </c>
      <c r="F144" s="5" t="s">
        <v>72</v>
      </c>
      <c r="G144" s="3">
        <f t="array" ref="G144">SUMPRODUCT(--(TRIM($E$2:$E$421)=TRIM(E144)))</f>
        <v>4</v>
      </c>
      <c r="H144" s="3" t="s">
        <v>73</v>
      </c>
      <c r="I144" s="3" t="s">
        <v>74</v>
      </c>
      <c r="J144" s="5"/>
      <c r="K144" s="3"/>
      <c r="L144" s="3"/>
      <c r="M144" s="3"/>
      <c r="N144" s="3"/>
      <c r="O144" s="3"/>
      <c r="P144" s="3"/>
      <c r="Q144" s="3"/>
      <c r="R144" s="3"/>
      <c r="S144" s="3"/>
      <c r="T144" s="3"/>
      <c r="U144" s="3"/>
      <c r="V144" s="3"/>
      <c r="W144" s="3"/>
      <c r="X144" s="3"/>
      <c r="Y144" s="3"/>
      <c r="Z144" s="3"/>
    </row>
    <row r="145" ht="27.0" customHeight="1">
      <c r="A145" s="3" t="s">
        <v>9</v>
      </c>
      <c r="B145" s="4" t="s">
        <v>278</v>
      </c>
      <c r="C145" s="1">
        <v>24.0</v>
      </c>
      <c r="D145" s="3" t="s">
        <v>96</v>
      </c>
      <c r="E145" s="5" t="s">
        <v>97</v>
      </c>
      <c r="F145" s="5" t="s">
        <v>98</v>
      </c>
      <c r="G145" s="3">
        <f t="array" ref="G145">SUMPRODUCT(--(TRIM($E$2:$E$421)=TRIM(E145)))</f>
        <v>6</v>
      </c>
      <c r="H145" s="3" t="s">
        <v>39</v>
      </c>
      <c r="I145" s="3" t="s">
        <v>40</v>
      </c>
      <c r="J145" s="5"/>
      <c r="K145" s="3"/>
      <c r="L145" s="3"/>
      <c r="M145" s="3"/>
      <c r="N145" s="3"/>
      <c r="O145" s="3"/>
      <c r="P145" s="3"/>
      <c r="Q145" s="3"/>
      <c r="R145" s="3"/>
      <c r="S145" s="3"/>
      <c r="T145" s="3"/>
      <c r="U145" s="3"/>
      <c r="V145" s="3"/>
      <c r="W145" s="3"/>
      <c r="X145" s="3"/>
      <c r="Y145" s="3"/>
      <c r="Z145" s="3"/>
    </row>
    <row r="146" ht="27.0" customHeight="1">
      <c r="A146" s="3" t="s">
        <v>9</v>
      </c>
      <c r="B146" s="4" t="s">
        <v>278</v>
      </c>
      <c r="C146" s="1">
        <v>25.0</v>
      </c>
      <c r="D146" s="3" t="s">
        <v>288</v>
      </c>
      <c r="E146" s="5" t="s">
        <v>322</v>
      </c>
      <c r="F146" s="5" t="s">
        <v>323</v>
      </c>
      <c r="G146" s="3">
        <f t="array" ref="G146">SUMPRODUCT(--(TRIM($E$2:$E$421)=TRIM(E146)))</f>
        <v>1</v>
      </c>
      <c r="H146" s="3" t="s">
        <v>14</v>
      </c>
      <c r="I146" s="3" t="s">
        <v>180</v>
      </c>
      <c r="J146" s="5"/>
      <c r="K146" s="3"/>
      <c r="L146" s="3"/>
      <c r="M146" s="3"/>
      <c r="N146" s="3"/>
      <c r="O146" s="3"/>
      <c r="P146" s="3"/>
      <c r="Q146" s="3"/>
      <c r="R146" s="3"/>
      <c r="S146" s="3"/>
      <c r="T146" s="3"/>
      <c r="U146" s="3"/>
      <c r="V146" s="3"/>
      <c r="W146" s="3"/>
      <c r="X146" s="3"/>
      <c r="Y146" s="3"/>
      <c r="Z146" s="3"/>
    </row>
    <row r="147" ht="27.0" customHeight="1">
      <c r="A147" s="3" t="s">
        <v>9</v>
      </c>
      <c r="B147" s="4" t="s">
        <v>278</v>
      </c>
      <c r="C147" s="1">
        <v>26.0</v>
      </c>
      <c r="D147" s="3" t="s">
        <v>128</v>
      </c>
      <c r="E147" s="5" t="s">
        <v>129</v>
      </c>
      <c r="F147" s="5" t="s">
        <v>130</v>
      </c>
      <c r="G147" s="3">
        <f t="array" ref="G147">SUMPRODUCT(--(TRIM($E$2:$E$421)=TRIM(E147)))</f>
        <v>2</v>
      </c>
      <c r="H147" s="3" t="s">
        <v>73</v>
      </c>
      <c r="I147" s="3" t="s">
        <v>92</v>
      </c>
      <c r="J147" s="5"/>
      <c r="K147" s="3"/>
      <c r="L147" s="3"/>
      <c r="M147" s="3"/>
      <c r="N147" s="3"/>
      <c r="O147" s="3"/>
      <c r="P147" s="3"/>
      <c r="Q147" s="3"/>
      <c r="R147" s="3"/>
      <c r="S147" s="3"/>
      <c r="T147" s="3"/>
      <c r="U147" s="3"/>
      <c r="V147" s="3"/>
      <c r="W147" s="3"/>
      <c r="X147" s="3"/>
      <c r="Y147" s="3"/>
      <c r="Z147" s="3"/>
    </row>
    <row r="148" ht="27.0" customHeight="1">
      <c r="A148" s="3" t="s">
        <v>9</v>
      </c>
      <c r="B148" s="4" t="s">
        <v>278</v>
      </c>
      <c r="C148" s="1">
        <v>27.0</v>
      </c>
      <c r="D148" s="3" t="s">
        <v>107</v>
      </c>
      <c r="E148" s="5" t="s">
        <v>108</v>
      </c>
      <c r="F148" s="5" t="s">
        <v>109</v>
      </c>
      <c r="G148" s="3">
        <f t="array" ref="G148">SUMPRODUCT(--(TRIM($E$2:$E$421)=TRIM(E148)))</f>
        <v>7</v>
      </c>
      <c r="H148" s="3" t="s">
        <v>14</v>
      </c>
      <c r="I148" s="3" t="s">
        <v>110</v>
      </c>
      <c r="J148" s="5"/>
      <c r="K148" s="3"/>
      <c r="L148" s="3"/>
      <c r="M148" s="3"/>
      <c r="N148" s="3"/>
      <c r="O148" s="3"/>
      <c r="P148" s="3"/>
      <c r="Q148" s="3"/>
      <c r="R148" s="3"/>
      <c r="S148" s="3"/>
      <c r="T148" s="3"/>
      <c r="U148" s="3"/>
      <c r="V148" s="3"/>
      <c r="W148" s="3"/>
      <c r="X148" s="3"/>
      <c r="Y148" s="3"/>
      <c r="Z148" s="3"/>
    </row>
    <row r="149" ht="27.0" customHeight="1">
      <c r="A149" s="3" t="s">
        <v>9</v>
      </c>
      <c r="B149" s="4" t="s">
        <v>278</v>
      </c>
      <c r="C149" s="1">
        <v>28.0</v>
      </c>
      <c r="D149" s="3" t="s">
        <v>324</v>
      </c>
      <c r="E149" s="5" t="s">
        <v>325</v>
      </c>
      <c r="F149" s="5" t="s">
        <v>326</v>
      </c>
      <c r="G149" s="3">
        <f t="array" ref="G149">SUMPRODUCT(--(TRIM($E$2:$E$421)=TRIM(E149)))</f>
        <v>2</v>
      </c>
      <c r="H149" s="3" t="s">
        <v>22</v>
      </c>
      <c r="I149" s="3" t="s">
        <v>80</v>
      </c>
      <c r="J149" s="5"/>
      <c r="K149" s="3"/>
      <c r="L149" s="3"/>
      <c r="M149" s="3"/>
      <c r="N149" s="3"/>
      <c r="O149" s="3"/>
      <c r="P149" s="3"/>
      <c r="Q149" s="3"/>
      <c r="R149" s="3"/>
      <c r="S149" s="3"/>
      <c r="T149" s="3"/>
      <c r="U149" s="3"/>
      <c r="V149" s="3"/>
      <c r="W149" s="3"/>
      <c r="X149" s="3"/>
      <c r="Y149" s="3"/>
      <c r="Z149" s="3"/>
    </row>
    <row r="150" ht="27.0" customHeight="1">
      <c r="A150" s="3" t="s">
        <v>9</v>
      </c>
      <c r="B150" s="4" t="s">
        <v>278</v>
      </c>
      <c r="C150" s="1">
        <v>29.0</v>
      </c>
      <c r="D150" s="3" t="s">
        <v>32</v>
      </c>
      <c r="E150" s="5" t="s">
        <v>327</v>
      </c>
      <c r="F150" s="5" t="s">
        <v>328</v>
      </c>
      <c r="G150" s="3">
        <f t="array" ref="G150">SUMPRODUCT(--(TRIM($E$2:$E$421)=TRIM(E150)))</f>
        <v>1</v>
      </c>
      <c r="H150" s="3" t="s">
        <v>14</v>
      </c>
      <c r="I150" s="3" t="s">
        <v>110</v>
      </c>
      <c r="J150" s="5"/>
      <c r="K150" s="3"/>
      <c r="L150" s="3"/>
      <c r="M150" s="3"/>
      <c r="N150" s="3"/>
      <c r="O150" s="3"/>
      <c r="P150" s="3"/>
      <c r="Q150" s="3"/>
      <c r="R150" s="3"/>
      <c r="S150" s="3"/>
      <c r="T150" s="3"/>
      <c r="U150" s="3"/>
      <c r="V150" s="3"/>
      <c r="W150" s="3"/>
      <c r="X150" s="3"/>
      <c r="Y150" s="3"/>
      <c r="Z150" s="3"/>
    </row>
    <row r="151" ht="27.0" customHeight="1">
      <c r="A151" s="3" t="s">
        <v>9</v>
      </c>
      <c r="B151" s="4" t="s">
        <v>278</v>
      </c>
      <c r="C151" s="1">
        <v>30.0</v>
      </c>
      <c r="D151" s="5" t="s">
        <v>329</v>
      </c>
      <c r="E151" s="5" t="s">
        <v>153</v>
      </c>
      <c r="F151" s="5" t="s">
        <v>154</v>
      </c>
      <c r="G151" s="3">
        <f t="array" ref="G151">SUMPRODUCT(--(TRIM($E$2:$E$421)=TRIM(E151)))</f>
        <v>5</v>
      </c>
      <c r="H151" s="3" t="s">
        <v>44</v>
      </c>
      <c r="I151" s="3" t="s">
        <v>45</v>
      </c>
      <c r="J151" s="5"/>
      <c r="K151" s="3"/>
      <c r="L151" s="3"/>
      <c r="M151" s="3"/>
      <c r="N151" s="3"/>
      <c r="O151" s="3"/>
      <c r="P151" s="3"/>
      <c r="Q151" s="3"/>
      <c r="R151" s="3"/>
      <c r="S151" s="3"/>
      <c r="T151" s="3"/>
      <c r="U151" s="3"/>
      <c r="V151" s="3"/>
      <c r="W151" s="3"/>
      <c r="X151" s="3"/>
      <c r="Y151" s="3"/>
      <c r="Z151" s="3"/>
    </row>
    <row r="152" ht="27.0" customHeight="1">
      <c r="A152" s="3" t="s">
        <v>9</v>
      </c>
      <c r="B152" s="4" t="s">
        <v>278</v>
      </c>
      <c r="C152" s="1">
        <v>31.0</v>
      </c>
      <c r="D152" s="3" t="s">
        <v>330</v>
      </c>
      <c r="E152" s="5" t="s">
        <v>331</v>
      </c>
      <c r="F152" s="5" t="s">
        <v>332</v>
      </c>
      <c r="G152" s="3">
        <f t="array" ref="G152">SUMPRODUCT(--(TRIM($E$2:$E$421)=TRIM(E152)))</f>
        <v>1</v>
      </c>
      <c r="H152" s="3" t="s">
        <v>333</v>
      </c>
      <c r="I152" s="3" t="s">
        <v>115</v>
      </c>
      <c r="J152" s="5"/>
      <c r="K152" s="3"/>
      <c r="L152" s="3"/>
      <c r="M152" s="3"/>
      <c r="N152" s="3"/>
      <c r="O152" s="3"/>
      <c r="P152" s="3"/>
      <c r="Q152" s="3"/>
      <c r="R152" s="3"/>
      <c r="S152" s="3"/>
      <c r="T152" s="3"/>
      <c r="U152" s="3"/>
      <c r="V152" s="3"/>
      <c r="W152" s="3"/>
      <c r="X152" s="3"/>
      <c r="Y152" s="3"/>
      <c r="Z152" s="3"/>
    </row>
    <row r="153" ht="27.0" customHeight="1">
      <c r="A153" s="3" t="s">
        <v>9</v>
      </c>
      <c r="B153" s="4" t="s">
        <v>278</v>
      </c>
      <c r="C153" s="1">
        <v>32.0</v>
      </c>
      <c r="D153" s="3" t="s">
        <v>265</v>
      </c>
      <c r="E153" s="5" t="s">
        <v>266</v>
      </c>
      <c r="F153" s="5" t="s">
        <v>267</v>
      </c>
      <c r="G153" s="3">
        <f t="array" ref="G153">SUMPRODUCT(--(TRIM($E$2:$E$421)=TRIM(E153)))</f>
        <v>2</v>
      </c>
      <c r="H153" s="3" t="s">
        <v>268</v>
      </c>
      <c r="I153" s="3" t="s">
        <v>269</v>
      </c>
      <c r="J153" s="5"/>
      <c r="K153" s="3"/>
      <c r="L153" s="3"/>
      <c r="M153" s="3"/>
      <c r="N153" s="3"/>
      <c r="O153" s="3"/>
      <c r="P153" s="3"/>
      <c r="Q153" s="3"/>
      <c r="R153" s="3"/>
      <c r="S153" s="3"/>
      <c r="T153" s="3"/>
      <c r="U153" s="3"/>
      <c r="V153" s="3"/>
      <c r="W153" s="3"/>
      <c r="X153" s="3"/>
      <c r="Y153" s="3"/>
      <c r="Z153" s="3"/>
    </row>
    <row r="154" ht="27.0" customHeight="1">
      <c r="A154" s="3" t="s">
        <v>9</v>
      </c>
      <c r="B154" s="4" t="s">
        <v>278</v>
      </c>
      <c r="C154" s="1">
        <v>33.0</v>
      </c>
      <c r="D154" s="3" t="s">
        <v>32</v>
      </c>
      <c r="E154" s="5" t="s">
        <v>334</v>
      </c>
      <c r="F154" s="5" t="s">
        <v>335</v>
      </c>
      <c r="G154" s="3">
        <f t="array" ref="G154">SUMPRODUCT(--(TRIM($E$2:$E$421)=TRIM(E154)))</f>
        <v>1</v>
      </c>
      <c r="H154" s="3" t="s">
        <v>317</v>
      </c>
      <c r="I154" s="3" t="s">
        <v>137</v>
      </c>
      <c r="J154" s="5"/>
      <c r="K154" s="3"/>
      <c r="L154" s="3"/>
      <c r="M154" s="3"/>
      <c r="N154" s="3"/>
      <c r="O154" s="3"/>
      <c r="P154" s="3"/>
      <c r="Q154" s="3"/>
      <c r="R154" s="3"/>
      <c r="S154" s="3"/>
      <c r="T154" s="3"/>
      <c r="U154" s="3"/>
      <c r="V154" s="3"/>
      <c r="W154" s="3"/>
      <c r="X154" s="3"/>
      <c r="Y154" s="3"/>
      <c r="Z154" s="3"/>
    </row>
    <row r="155" ht="27.0" customHeight="1">
      <c r="A155" s="3" t="s">
        <v>9</v>
      </c>
      <c r="B155" s="4" t="s">
        <v>278</v>
      </c>
      <c r="C155" s="1">
        <v>34.0</v>
      </c>
      <c r="D155" s="3" t="s">
        <v>160</v>
      </c>
      <c r="E155" s="5" t="s">
        <v>161</v>
      </c>
      <c r="F155" s="5" t="s">
        <v>162</v>
      </c>
      <c r="G155" s="3">
        <f t="array" ref="G155">SUMPRODUCT(--(TRIM($E$2:$E$421)=TRIM(E155)))</f>
        <v>4</v>
      </c>
      <c r="H155" s="3" t="s">
        <v>22</v>
      </c>
      <c r="I155" s="3" t="s">
        <v>80</v>
      </c>
      <c r="J155" s="5"/>
      <c r="K155" s="3"/>
      <c r="L155" s="3"/>
      <c r="M155" s="3"/>
      <c r="N155" s="3"/>
      <c r="O155" s="3"/>
      <c r="P155" s="3"/>
      <c r="Q155" s="3"/>
      <c r="R155" s="3"/>
      <c r="S155" s="3"/>
      <c r="T155" s="3"/>
      <c r="U155" s="3"/>
      <c r="V155" s="3"/>
      <c r="W155" s="3"/>
      <c r="X155" s="3"/>
      <c r="Y155" s="3"/>
      <c r="Z155" s="3"/>
    </row>
    <row r="156" ht="27.0" customHeight="1">
      <c r="A156" s="3" t="s">
        <v>9</v>
      </c>
      <c r="B156" s="4" t="s">
        <v>278</v>
      </c>
      <c r="C156" s="1">
        <v>35.0</v>
      </c>
      <c r="D156" s="3" t="s">
        <v>32</v>
      </c>
      <c r="E156" s="5" t="s">
        <v>336</v>
      </c>
      <c r="F156" s="5" t="s">
        <v>337</v>
      </c>
      <c r="G156" s="3">
        <f t="array" ref="G156">SUMPRODUCT(--(TRIM($E$2:$E$421)=TRIM(E156)))</f>
        <v>1</v>
      </c>
      <c r="H156" s="3" t="s">
        <v>338</v>
      </c>
      <c r="I156" s="3" t="s">
        <v>339</v>
      </c>
      <c r="J156" s="5"/>
      <c r="K156" s="3"/>
      <c r="L156" s="3"/>
      <c r="M156" s="3"/>
      <c r="N156" s="3"/>
      <c r="O156" s="3"/>
      <c r="P156" s="3"/>
      <c r="Q156" s="3"/>
      <c r="R156" s="3"/>
      <c r="S156" s="3"/>
      <c r="T156" s="3"/>
      <c r="U156" s="3"/>
      <c r="V156" s="3"/>
      <c r="W156" s="3"/>
      <c r="X156" s="3"/>
      <c r="Y156" s="3"/>
      <c r="Z156" s="3"/>
    </row>
    <row r="157" ht="27.0" customHeight="1">
      <c r="A157" s="3" t="s">
        <v>9</v>
      </c>
      <c r="B157" s="4" t="s">
        <v>278</v>
      </c>
      <c r="C157" s="1">
        <v>36.0</v>
      </c>
      <c r="D157" s="3" t="s">
        <v>32</v>
      </c>
      <c r="E157" s="5" t="s">
        <v>340</v>
      </c>
      <c r="F157" s="5" t="s">
        <v>341</v>
      </c>
      <c r="G157" s="3">
        <f t="array" ref="G157">SUMPRODUCT(--(TRIM($E$2:$E$421)=TRIM(E157)))</f>
        <v>1</v>
      </c>
      <c r="H157" s="3" t="s">
        <v>301</v>
      </c>
      <c r="I157" s="3" t="s">
        <v>302</v>
      </c>
      <c r="J157" s="5"/>
      <c r="K157" s="3"/>
      <c r="L157" s="3"/>
      <c r="M157" s="3"/>
      <c r="N157" s="3"/>
      <c r="O157" s="3"/>
      <c r="P157" s="3"/>
      <c r="Q157" s="3"/>
      <c r="R157" s="3"/>
      <c r="S157" s="3"/>
      <c r="T157" s="3"/>
      <c r="U157" s="3"/>
      <c r="V157" s="3"/>
      <c r="W157" s="3"/>
      <c r="X157" s="3"/>
      <c r="Y157" s="3"/>
      <c r="Z157" s="3"/>
    </row>
    <row r="158" ht="27.0" customHeight="1">
      <c r="A158" s="3" t="s">
        <v>9</v>
      </c>
      <c r="B158" s="4" t="s">
        <v>278</v>
      </c>
      <c r="C158" s="1">
        <v>37.0</v>
      </c>
      <c r="D158" s="3" t="s">
        <v>32</v>
      </c>
      <c r="E158" s="5" t="s">
        <v>342</v>
      </c>
      <c r="F158" s="5" t="s">
        <v>343</v>
      </c>
      <c r="G158" s="3">
        <f t="array" ref="G158">SUMPRODUCT(--(TRIM($E$2:$E$421)=TRIM(E158)))</f>
        <v>1</v>
      </c>
      <c r="H158" s="3" t="s">
        <v>35</v>
      </c>
      <c r="I158" s="3" t="s">
        <v>36</v>
      </c>
      <c r="J158" s="5"/>
      <c r="K158" s="3"/>
      <c r="L158" s="3"/>
      <c r="M158" s="3"/>
      <c r="N158" s="3"/>
      <c r="O158" s="3"/>
      <c r="P158" s="3"/>
      <c r="Q158" s="3"/>
      <c r="R158" s="3"/>
      <c r="S158" s="3"/>
      <c r="T158" s="3"/>
      <c r="U158" s="3"/>
      <c r="V158" s="3"/>
      <c r="W158" s="3"/>
      <c r="X158" s="3"/>
      <c r="Y158" s="3"/>
      <c r="Z158" s="3"/>
    </row>
    <row r="159" ht="27.0" customHeight="1">
      <c r="A159" s="3" t="s">
        <v>9</v>
      </c>
      <c r="B159" s="4" t="s">
        <v>278</v>
      </c>
      <c r="C159" s="1">
        <v>38.0</v>
      </c>
      <c r="D159" s="3" t="s">
        <v>32</v>
      </c>
      <c r="E159" s="5" t="s">
        <v>344</v>
      </c>
      <c r="F159" s="5" t="s">
        <v>345</v>
      </c>
      <c r="G159" s="3">
        <f t="array" ref="G159">SUMPRODUCT(--(TRIM($E$2:$E$421)=TRIM(E159)))</f>
        <v>1</v>
      </c>
      <c r="H159" s="3" t="s">
        <v>124</v>
      </c>
      <c r="I159" s="3" t="s">
        <v>125</v>
      </c>
      <c r="J159" s="5"/>
      <c r="K159" s="3"/>
      <c r="L159" s="3"/>
      <c r="M159" s="3"/>
      <c r="N159" s="3"/>
      <c r="O159" s="3"/>
      <c r="P159" s="3"/>
      <c r="Q159" s="3"/>
      <c r="R159" s="3"/>
      <c r="S159" s="3"/>
      <c r="T159" s="3"/>
      <c r="U159" s="3"/>
      <c r="V159" s="3"/>
      <c r="W159" s="3"/>
      <c r="X159" s="3"/>
      <c r="Y159" s="3"/>
      <c r="Z159" s="3"/>
    </row>
    <row r="160" ht="27.0" customHeight="1">
      <c r="A160" s="6" t="s">
        <v>9</v>
      </c>
      <c r="B160" s="4" t="s">
        <v>278</v>
      </c>
      <c r="C160" s="7">
        <v>39.0</v>
      </c>
      <c r="D160" s="6" t="s">
        <v>346</v>
      </c>
      <c r="E160" s="8" t="s">
        <v>347</v>
      </c>
      <c r="F160" s="6" t="s">
        <v>186</v>
      </c>
      <c r="G160" s="3">
        <f t="array" ref="G160">SUMPRODUCT(--(TRIM($E$2:$E$421)=TRIM(E160)))</f>
        <v>1</v>
      </c>
      <c r="H160" s="3" t="s">
        <v>199</v>
      </c>
      <c r="I160" s="3" t="s">
        <v>264</v>
      </c>
      <c r="J160" s="8"/>
      <c r="K160" s="3"/>
      <c r="L160" s="3"/>
      <c r="M160" s="3"/>
      <c r="N160" s="3"/>
      <c r="O160" s="3"/>
      <c r="P160" s="3"/>
      <c r="Q160" s="3"/>
      <c r="R160" s="3"/>
      <c r="S160" s="3"/>
      <c r="T160" s="3"/>
      <c r="U160" s="3"/>
      <c r="V160" s="3"/>
      <c r="W160" s="3"/>
      <c r="X160" s="3"/>
      <c r="Y160" s="3"/>
      <c r="Z160" s="3"/>
    </row>
    <row r="161" ht="27.0" customHeight="1">
      <c r="A161" s="9" t="s">
        <v>9</v>
      </c>
      <c r="B161" s="4" t="s">
        <v>278</v>
      </c>
      <c r="C161" s="10">
        <v>40.0</v>
      </c>
      <c r="D161" s="9" t="s">
        <v>46</v>
      </c>
      <c r="E161" s="5" t="s">
        <v>47</v>
      </c>
      <c r="F161" s="5" t="s">
        <v>48</v>
      </c>
      <c r="G161" s="3">
        <f t="array" ref="G161">SUMPRODUCT(--(TRIM($E$2:$E$421)=TRIM(E161)))</f>
        <v>6</v>
      </c>
      <c r="H161" s="3" t="s">
        <v>49</v>
      </c>
      <c r="I161" s="3" t="s">
        <v>50</v>
      </c>
      <c r="J161" s="5"/>
      <c r="K161" s="3"/>
      <c r="L161" s="3"/>
      <c r="M161" s="3"/>
      <c r="N161" s="3"/>
      <c r="O161" s="3"/>
      <c r="P161" s="3"/>
      <c r="Q161" s="3"/>
      <c r="R161" s="3"/>
      <c r="S161" s="3"/>
      <c r="T161" s="3"/>
      <c r="U161" s="3"/>
      <c r="V161" s="3"/>
      <c r="W161" s="3"/>
      <c r="X161" s="3"/>
      <c r="Y161" s="3"/>
      <c r="Z161" s="3"/>
    </row>
    <row r="162" ht="27.0" customHeight="1">
      <c r="A162" s="3" t="s">
        <v>9</v>
      </c>
      <c r="B162" s="4" t="s">
        <v>348</v>
      </c>
      <c r="C162" s="1">
        <v>1.0</v>
      </c>
      <c r="D162" s="3" t="s">
        <v>349</v>
      </c>
      <c r="E162" s="3" t="s">
        <v>350</v>
      </c>
      <c r="F162" s="5" t="s">
        <v>351</v>
      </c>
      <c r="G162" s="3">
        <f t="array" ref="G162">SUMPRODUCT(--(TRIM($E$2:$E$421)=TRIM(E162)))</f>
        <v>1</v>
      </c>
      <c r="H162" s="3" t="s">
        <v>150</v>
      </c>
      <c r="I162" s="3" t="s">
        <v>352</v>
      </c>
      <c r="J162" s="3"/>
      <c r="K162" s="3"/>
      <c r="L162" s="3"/>
      <c r="M162" s="3"/>
      <c r="N162" s="3"/>
      <c r="O162" s="3"/>
      <c r="P162" s="3"/>
      <c r="Q162" s="3"/>
      <c r="R162" s="3"/>
      <c r="S162" s="3"/>
      <c r="T162" s="3"/>
      <c r="U162" s="3"/>
      <c r="V162" s="3"/>
      <c r="W162" s="3"/>
      <c r="X162" s="3"/>
      <c r="Y162" s="3"/>
      <c r="Z162" s="3"/>
    </row>
    <row r="163" ht="27.0" customHeight="1">
      <c r="A163" s="3" t="s">
        <v>9</v>
      </c>
      <c r="B163" s="4" t="s">
        <v>348</v>
      </c>
      <c r="C163" s="1">
        <v>2.0</v>
      </c>
      <c r="D163" s="3" t="s">
        <v>353</v>
      </c>
      <c r="E163" s="3" t="s">
        <v>354</v>
      </c>
      <c r="F163" s="5" t="s">
        <v>355</v>
      </c>
      <c r="G163" s="3">
        <f t="array" ref="G163">SUMPRODUCT(--(TRIM($E$2:$E$421)=TRIM(E163)))</f>
        <v>1</v>
      </c>
      <c r="H163" s="3" t="s">
        <v>35</v>
      </c>
      <c r="I163" s="3" t="s">
        <v>36</v>
      </c>
      <c r="J163" s="3"/>
      <c r="K163" s="3"/>
      <c r="L163" s="3"/>
      <c r="M163" s="3"/>
      <c r="N163" s="3"/>
      <c r="O163" s="3"/>
      <c r="P163" s="3"/>
      <c r="Q163" s="3"/>
      <c r="R163" s="3"/>
      <c r="S163" s="3"/>
      <c r="T163" s="3"/>
      <c r="U163" s="3"/>
      <c r="V163" s="3"/>
      <c r="W163" s="3"/>
      <c r="X163" s="3"/>
      <c r="Y163" s="3"/>
      <c r="Z163" s="3"/>
    </row>
    <row r="164" ht="27.0" customHeight="1">
      <c r="A164" s="3" t="s">
        <v>9</v>
      </c>
      <c r="B164" s="4" t="s">
        <v>348</v>
      </c>
      <c r="C164" s="1">
        <v>3.0</v>
      </c>
      <c r="D164" s="3" t="s">
        <v>356</v>
      </c>
      <c r="E164" s="3" t="s">
        <v>357</v>
      </c>
      <c r="F164" s="5" t="s">
        <v>358</v>
      </c>
      <c r="G164" s="3">
        <f t="array" ref="G164">SUMPRODUCT(--(TRIM($E$2:$E$421)=TRIM(E164)))</f>
        <v>1</v>
      </c>
      <c r="H164" s="3" t="s">
        <v>35</v>
      </c>
      <c r="I164" s="3" t="s">
        <v>36</v>
      </c>
      <c r="J164" s="3"/>
      <c r="K164" s="3"/>
      <c r="L164" s="3"/>
      <c r="M164" s="3"/>
      <c r="N164" s="3"/>
      <c r="O164" s="3"/>
      <c r="P164" s="3"/>
      <c r="Q164" s="3"/>
      <c r="R164" s="3"/>
      <c r="S164" s="3"/>
      <c r="T164" s="3"/>
      <c r="U164" s="3"/>
      <c r="V164" s="3"/>
      <c r="W164" s="3"/>
      <c r="X164" s="3"/>
      <c r="Y164" s="3"/>
      <c r="Z164" s="3"/>
    </row>
    <row r="165" ht="27.0" customHeight="1">
      <c r="A165" s="3" t="s">
        <v>9</v>
      </c>
      <c r="B165" s="4" t="s">
        <v>348</v>
      </c>
      <c r="C165" s="1">
        <v>4.0</v>
      </c>
      <c r="D165" s="3" t="s">
        <v>359</v>
      </c>
      <c r="E165" s="5" t="s">
        <v>108</v>
      </c>
      <c r="F165" s="5" t="s">
        <v>109</v>
      </c>
      <c r="G165" s="3">
        <f t="array" ref="G165">SUMPRODUCT(--(TRIM($E$2:$E$421)=TRIM(E165)))</f>
        <v>7</v>
      </c>
      <c r="H165" s="3" t="s">
        <v>14</v>
      </c>
      <c r="I165" s="3" t="s">
        <v>110</v>
      </c>
      <c r="J165" s="5"/>
      <c r="K165" s="3"/>
      <c r="L165" s="3"/>
      <c r="M165" s="3"/>
      <c r="N165" s="3"/>
      <c r="O165" s="3"/>
      <c r="P165" s="3"/>
      <c r="Q165" s="3"/>
      <c r="R165" s="3"/>
      <c r="S165" s="3"/>
      <c r="T165" s="3"/>
      <c r="U165" s="3"/>
      <c r="V165" s="3"/>
      <c r="W165" s="3"/>
      <c r="X165" s="3"/>
      <c r="Y165" s="3"/>
      <c r="Z165" s="3"/>
    </row>
    <row r="166" ht="27.0" customHeight="1">
      <c r="A166" s="3" t="s">
        <v>9</v>
      </c>
      <c r="B166" s="4" t="s">
        <v>348</v>
      </c>
      <c r="C166" s="1">
        <v>5.0</v>
      </c>
      <c r="D166" s="3" t="s">
        <v>32</v>
      </c>
      <c r="E166" s="3" t="s">
        <v>360</v>
      </c>
      <c r="F166" s="5" t="s">
        <v>361</v>
      </c>
      <c r="G166" s="3">
        <f t="array" ref="G166">SUMPRODUCT(--(TRIM($E$2:$E$421)=TRIM(E166)))</f>
        <v>1</v>
      </c>
      <c r="H166" s="3" t="s">
        <v>14</v>
      </c>
      <c r="I166" s="3" t="s">
        <v>15</v>
      </c>
      <c r="J166" s="3"/>
      <c r="K166" s="3"/>
      <c r="L166" s="3"/>
      <c r="M166" s="3"/>
      <c r="N166" s="3"/>
      <c r="O166" s="3"/>
      <c r="P166" s="3"/>
      <c r="Q166" s="3"/>
      <c r="R166" s="3"/>
      <c r="S166" s="3"/>
      <c r="T166" s="3"/>
      <c r="U166" s="3"/>
      <c r="V166" s="3"/>
      <c r="W166" s="3"/>
      <c r="X166" s="3"/>
      <c r="Y166" s="3"/>
      <c r="Z166" s="3"/>
    </row>
    <row r="167" ht="27.0" customHeight="1">
      <c r="A167" s="3" t="s">
        <v>9</v>
      </c>
      <c r="B167" s="4" t="s">
        <v>348</v>
      </c>
      <c r="C167" s="1">
        <v>6.0</v>
      </c>
      <c r="D167" s="3" t="s">
        <v>51</v>
      </c>
      <c r="E167" s="5" t="s">
        <v>52</v>
      </c>
      <c r="F167" s="5" t="s">
        <v>53</v>
      </c>
      <c r="G167" s="3">
        <f t="array" ref="G167">SUMPRODUCT(--(TRIM($E$2:$E$421)=TRIM(E167)))</f>
        <v>3</v>
      </c>
      <c r="H167" s="3" t="s">
        <v>54</v>
      </c>
      <c r="I167" s="3" t="s">
        <v>55</v>
      </c>
      <c r="J167" s="5"/>
      <c r="K167" s="3"/>
      <c r="L167" s="3"/>
      <c r="M167" s="3"/>
      <c r="N167" s="3"/>
      <c r="O167" s="3"/>
      <c r="P167" s="3"/>
      <c r="Q167" s="3"/>
      <c r="R167" s="3"/>
      <c r="S167" s="3"/>
      <c r="T167" s="3"/>
      <c r="U167" s="3"/>
      <c r="V167" s="3"/>
      <c r="W167" s="3"/>
      <c r="X167" s="3"/>
      <c r="Y167" s="3"/>
      <c r="Z167" s="3"/>
    </row>
    <row r="168" ht="27.0" customHeight="1">
      <c r="A168" s="3" t="s">
        <v>9</v>
      </c>
      <c r="B168" s="4" t="s">
        <v>348</v>
      </c>
      <c r="C168" s="1">
        <v>7.0</v>
      </c>
      <c r="D168" s="3" t="s">
        <v>362</v>
      </c>
      <c r="E168" s="3" t="s">
        <v>363</v>
      </c>
      <c r="F168" s="5" t="s">
        <v>364</v>
      </c>
      <c r="G168" s="3">
        <f t="array" ref="G168">SUMPRODUCT(--(TRIM($E$2:$E$421)=TRIM(E168)))</f>
        <v>1</v>
      </c>
      <c r="H168" s="3" t="s">
        <v>141</v>
      </c>
      <c r="I168" s="3" t="s">
        <v>55</v>
      </c>
      <c r="J168" s="3"/>
      <c r="K168" s="3"/>
      <c r="L168" s="3"/>
      <c r="M168" s="3"/>
      <c r="N168" s="3"/>
      <c r="O168" s="3"/>
      <c r="P168" s="3"/>
      <c r="Q168" s="3"/>
      <c r="R168" s="3"/>
      <c r="S168" s="3"/>
      <c r="T168" s="3"/>
      <c r="U168" s="3"/>
      <c r="V168" s="3"/>
      <c r="W168" s="3"/>
      <c r="X168" s="3"/>
      <c r="Y168" s="3"/>
      <c r="Z168" s="3"/>
    </row>
    <row r="169" ht="27.0" customHeight="1">
      <c r="A169" s="3" t="s">
        <v>9</v>
      </c>
      <c r="B169" s="4" t="s">
        <v>348</v>
      </c>
      <c r="C169" s="1">
        <v>8.0</v>
      </c>
      <c r="D169" s="3" t="s">
        <v>32</v>
      </c>
      <c r="E169" s="3" t="s">
        <v>365</v>
      </c>
      <c r="F169" s="5" t="s">
        <v>366</v>
      </c>
      <c r="G169" s="3">
        <f t="array" ref="G169">SUMPRODUCT(--(TRIM($E$2:$E$421)=TRIM(E169)))</f>
        <v>1</v>
      </c>
      <c r="H169" s="3" t="s">
        <v>145</v>
      </c>
      <c r="I169" s="3" t="s">
        <v>146</v>
      </c>
      <c r="J169" s="3"/>
      <c r="K169" s="3"/>
      <c r="L169" s="3"/>
      <c r="M169" s="3"/>
      <c r="N169" s="3"/>
      <c r="O169" s="3"/>
      <c r="P169" s="3"/>
      <c r="Q169" s="3"/>
      <c r="R169" s="3"/>
      <c r="S169" s="3"/>
      <c r="T169" s="3"/>
      <c r="U169" s="3"/>
      <c r="V169" s="3"/>
      <c r="W169" s="3"/>
      <c r="X169" s="3"/>
      <c r="Y169" s="3"/>
      <c r="Z169" s="3"/>
    </row>
    <row r="170" ht="27.0" customHeight="1">
      <c r="A170" s="3" t="s">
        <v>9</v>
      </c>
      <c r="B170" s="4" t="s">
        <v>348</v>
      </c>
      <c r="C170" s="1">
        <v>9.0</v>
      </c>
      <c r="D170" s="3" t="s">
        <v>367</v>
      </c>
      <c r="E170" s="3" t="s">
        <v>368</v>
      </c>
      <c r="F170" s="5" t="s">
        <v>369</v>
      </c>
      <c r="G170" s="3">
        <f t="array" ref="G170">SUMPRODUCT(--(TRIM($E$2:$E$421)=TRIM(E170)))</f>
        <v>1</v>
      </c>
      <c r="H170" s="3" t="s">
        <v>14</v>
      </c>
      <c r="I170" s="3" t="s">
        <v>15</v>
      </c>
      <c r="J170" s="3"/>
      <c r="K170" s="3"/>
      <c r="L170" s="3"/>
      <c r="M170" s="3"/>
      <c r="N170" s="3"/>
      <c r="O170" s="3"/>
      <c r="P170" s="3"/>
      <c r="Q170" s="3"/>
      <c r="R170" s="3"/>
      <c r="S170" s="3"/>
      <c r="T170" s="3"/>
      <c r="U170" s="3"/>
      <c r="V170" s="3"/>
      <c r="W170" s="3"/>
      <c r="X170" s="3"/>
      <c r="Y170" s="3"/>
      <c r="Z170" s="3"/>
    </row>
    <row r="171" ht="27.0" customHeight="1">
      <c r="A171" s="3" t="s">
        <v>9</v>
      </c>
      <c r="B171" s="4" t="s">
        <v>348</v>
      </c>
      <c r="C171" s="1">
        <v>10.0</v>
      </c>
      <c r="D171" s="3" t="s">
        <v>370</v>
      </c>
      <c r="E171" s="3" t="s">
        <v>371</v>
      </c>
      <c r="F171" s="5" t="s">
        <v>372</v>
      </c>
      <c r="G171" s="3">
        <f t="array" ref="G171">SUMPRODUCT(--(TRIM($E$2:$E$421)=TRIM(E171)))</f>
        <v>1</v>
      </c>
      <c r="H171" s="3" t="s">
        <v>150</v>
      </c>
      <c r="I171" s="3" t="s">
        <v>352</v>
      </c>
      <c r="J171" s="3"/>
      <c r="K171" s="3"/>
      <c r="L171" s="3"/>
      <c r="M171" s="3"/>
      <c r="N171" s="3"/>
      <c r="O171" s="3"/>
      <c r="P171" s="3"/>
      <c r="Q171" s="3"/>
      <c r="R171" s="3"/>
      <c r="S171" s="3"/>
      <c r="T171" s="3"/>
      <c r="U171" s="3"/>
      <c r="V171" s="3"/>
      <c r="W171" s="3"/>
      <c r="X171" s="3"/>
      <c r="Y171" s="3"/>
      <c r="Z171" s="3"/>
    </row>
    <row r="172" ht="27.0" customHeight="1">
      <c r="A172" s="3" t="s">
        <v>9</v>
      </c>
      <c r="B172" s="4" t="s">
        <v>348</v>
      </c>
      <c r="C172" s="1">
        <v>11.0</v>
      </c>
      <c r="D172" s="3" t="s">
        <v>32</v>
      </c>
      <c r="E172" s="3" t="s">
        <v>373</v>
      </c>
      <c r="F172" s="5" t="s">
        <v>374</v>
      </c>
      <c r="G172" s="3">
        <f t="array" ref="G172">SUMPRODUCT(--(TRIM($E$2:$E$421)=TRIM(E172)))</f>
        <v>1</v>
      </c>
      <c r="H172" s="3" t="s">
        <v>375</v>
      </c>
      <c r="I172" s="3" t="s">
        <v>376</v>
      </c>
      <c r="J172" s="3"/>
      <c r="K172" s="3"/>
      <c r="L172" s="3"/>
      <c r="M172" s="3"/>
      <c r="N172" s="3"/>
      <c r="O172" s="3"/>
      <c r="P172" s="3"/>
      <c r="Q172" s="3"/>
      <c r="R172" s="3"/>
      <c r="S172" s="3"/>
      <c r="T172" s="3"/>
      <c r="U172" s="3"/>
      <c r="V172" s="3"/>
      <c r="W172" s="3"/>
      <c r="X172" s="3"/>
      <c r="Y172" s="3"/>
      <c r="Z172" s="3"/>
    </row>
    <row r="173" ht="27.0" customHeight="1">
      <c r="A173" s="3" t="s">
        <v>9</v>
      </c>
      <c r="B173" s="4" t="s">
        <v>348</v>
      </c>
      <c r="C173" s="1">
        <v>12.0</v>
      </c>
      <c r="D173" s="3" t="s">
        <v>377</v>
      </c>
      <c r="E173" s="3" t="s">
        <v>378</v>
      </c>
      <c r="F173" s="5" t="s">
        <v>379</v>
      </c>
      <c r="G173" s="3">
        <f t="array" ref="G173">SUMPRODUCT(--(TRIM($E$2:$E$421)=TRIM(E173)))</f>
        <v>1</v>
      </c>
      <c r="H173" s="3" t="s">
        <v>199</v>
      </c>
      <c r="I173" s="3" t="s">
        <v>264</v>
      </c>
      <c r="J173" s="3"/>
      <c r="K173" s="3"/>
      <c r="L173" s="3"/>
      <c r="M173" s="3"/>
      <c r="N173" s="3"/>
      <c r="O173" s="3"/>
      <c r="P173" s="3"/>
      <c r="Q173" s="3"/>
      <c r="R173" s="3"/>
      <c r="S173" s="3"/>
      <c r="T173" s="3"/>
      <c r="U173" s="3"/>
      <c r="V173" s="3"/>
      <c r="W173" s="3"/>
      <c r="X173" s="3"/>
      <c r="Y173" s="3"/>
      <c r="Z173" s="3"/>
    </row>
    <row r="174" ht="27.0" customHeight="1">
      <c r="A174" s="3" t="s">
        <v>9</v>
      </c>
      <c r="B174" s="4" t="s">
        <v>348</v>
      </c>
      <c r="C174" s="1">
        <v>13.0</v>
      </c>
      <c r="D174" s="3" t="s">
        <v>380</v>
      </c>
      <c r="E174" s="3" t="s">
        <v>381</v>
      </c>
      <c r="F174" s="5" t="s">
        <v>382</v>
      </c>
      <c r="G174" s="3">
        <f t="array" ref="G174">SUMPRODUCT(--(TRIM($E$2:$E$421)=TRIM(E174)))</f>
        <v>1</v>
      </c>
      <c r="H174" s="3" t="s">
        <v>383</v>
      </c>
      <c r="I174" s="3" t="s">
        <v>384</v>
      </c>
      <c r="J174" s="3"/>
      <c r="K174" s="3"/>
      <c r="L174" s="3"/>
      <c r="M174" s="3"/>
      <c r="N174" s="3"/>
      <c r="O174" s="3"/>
      <c r="P174" s="3"/>
      <c r="Q174" s="3"/>
      <c r="R174" s="3"/>
      <c r="S174" s="3"/>
      <c r="T174" s="3"/>
      <c r="U174" s="3"/>
      <c r="V174" s="3"/>
      <c r="W174" s="3"/>
      <c r="X174" s="3"/>
      <c r="Y174" s="3"/>
      <c r="Z174" s="3"/>
    </row>
    <row r="175" ht="27.0" customHeight="1">
      <c r="A175" s="3" t="s">
        <v>9</v>
      </c>
      <c r="B175" s="4" t="s">
        <v>348</v>
      </c>
      <c r="C175" s="1">
        <v>14.0</v>
      </c>
      <c r="D175" s="3" t="s">
        <v>385</v>
      </c>
      <c r="E175" s="3" t="s">
        <v>386</v>
      </c>
      <c r="F175" s="5" t="s">
        <v>387</v>
      </c>
      <c r="G175" s="3">
        <f t="array" ref="G175">SUMPRODUCT(--(TRIM($E$2:$E$421)=TRIM(E175)))</f>
        <v>1</v>
      </c>
      <c r="H175" s="3" t="s">
        <v>375</v>
      </c>
      <c r="I175" s="3" t="s">
        <v>376</v>
      </c>
      <c r="J175" s="3"/>
      <c r="K175" s="3"/>
      <c r="L175" s="3"/>
      <c r="M175" s="3"/>
      <c r="N175" s="3"/>
      <c r="O175" s="3"/>
      <c r="P175" s="3"/>
      <c r="Q175" s="3"/>
      <c r="R175" s="3"/>
      <c r="S175" s="3"/>
      <c r="T175" s="3"/>
      <c r="U175" s="3"/>
      <c r="V175" s="3"/>
      <c r="W175" s="3"/>
      <c r="X175" s="3"/>
      <c r="Y175" s="3"/>
      <c r="Z175" s="3"/>
    </row>
    <row r="176" ht="27.0" customHeight="1">
      <c r="A176" s="3" t="s">
        <v>9</v>
      </c>
      <c r="B176" s="4" t="s">
        <v>348</v>
      </c>
      <c r="C176" s="1">
        <v>15.0</v>
      </c>
      <c r="D176" s="3" t="s">
        <v>32</v>
      </c>
      <c r="E176" s="3" t="s">
        <v>388</v>
      </c>
      <c r="F176" s="5" t="s">
        <v>389</v>
      </c>
      <c r="G176" s="3">
        <f t="array" ref="G176">SUMPRODUCT(--(TRIM($E$2:$E$421)=TRIM(E176)))</f>
        <v>1</v>
      </c>
      <c r="H176" s="3" t="s">
        <v>145</v>
      </c>
      <c r="I176" s="3" t="s">
        <v>146</v>
      </c>
      <c r="J176" s="3"/>
      <c r="K176" s="3"/>
      <c r="L176" s="3"/>
      <c r="M176" s="3"/>
      <c r="N176" s="3"/>
      <c r="O176" s="3"/>
      <c r="P176" s="3"/>
      <c r="Q176" s="3"/>
      <c r="R176" s="3"/>
      <c r="S176" s="3"/>
      <c r="T176" s="3"/>
      <c r="U176" s="3"/>
      <c r="V176" s="3"/>
      <c r="W176" s="3"/>
      <c r="X176" s="3"/>
      <c r="Y176" s="3"/>
      <c r="Z176" s="3"/>
    </row>
    <row r="177" ht="27.0" customHeight="1">
      <c r="A177" s="3" t="s">
        <v>9</v>
      </c>
      <c r="B177" s="4" t="s">
        <v>348</v>
      </c>
      <c r="C177" s="1">
        <v>16.0</v>
      </c>
      <c r="D177" s="3" t="s">
        <v>32</v>
      </c>
      <c r="E177" s="3" t="s">
        <v>390</v>
      </c>
      <c r="F177" s="5" t="s">
        <v>391</v>
      </c>
      <c r="G177" s="3">
        <f t="array" ref="G177">SUMPRODUCT(--(TRIM($E$2:$E$421)=TRIM(E177)))</f>
        <v>1</v>
      </c>
      <c r="H177" s="3" t="s">
        <v>375</v>
      </c>
      <c r="I177" s="3" t="s">
        <v>376</v>
      </c>
      <c r="J177" s="3"/>
      <c r="K177" s="3"/>
      <c r="L177" s="3"/>
      <c r="M177" s="3"/>
      <c r="N177" s="3"/>
      <c r="O177" s="3"/>
      <c r="P177" s="3"/>
      <c r="Q177" s="3"/>
      <c r="R177" s="3"/>
      <c r="S177" s="3"/>
      <c r="T177" s="3"/>
      <c r="U177" s="3"/>
      <c r="V177" s="3"/>
      <c r="W177" s="3"/>
      <c r="X177" s="3"/>
      <c r="Y177" s="3"/>
      <c r="Z177" s="3"/>
    </row>
    <row r="178" ht="27.0" customHeight="1">
      <c r="A178" s="3" t="s">
        <v>9</v>
      </c>
      <c r="B178" s="4" t="s">
        <v>348</v>
      </c>
      <c r="C178" s="1">
        <v>17.0</v>
      </c>
      <c r="D178" s="3" t="s">
        <v>32</v>
      </c>
      <c r="E178" s="3" t="s">
        <v>89</v>
      </c>
      <c r="F178" s="5" t="s">
        <v>90</v>
      </c>
      <c r="G178" s="3">
        <f t="array" ref="G178">SUMPRODUCT(--(TRIM($E$2:$E$421)=TRIM(E178)))</f>
        <v>3</v>
      </c>
      <c r="H178" s="3" t="s">
        <v>91</v>
      </c>
      <c r="I178" s="3" t="s">
        <v>92</v>
      </c>
      <c r="J178" s="3"/>
      <c r="K178" s="3"/>
      <c r="L178" s="3"/>
      <c r="M178" s="3"/>
      <c r="N178" s="3"/>
      <c r="O178" s="3"/>
      <c r="P178" s="3"/>
      <c r="Q178" s="3"/>
      <c r="R178" s="3"/>
      <c r="S178" s="3"/>
      <c r="T178" s="3"/>
      <c r="U178" s="3"/>
      <c r="V178" s="3"/>
      <c r="W178" s="3"/>
      <c r="X178" s="3"/>
      <c r="Y178" s="3"/>
      <c r="Z178" s="3"/>
    </row>
    <row r="179" ht="27.0" customHeight="1">
      <c r="A179" s="3" t="s">
        <v>9</v>
      </c>
      <c r="B179" s="4" t="s">
        <v>348</v>
      </c>
      <c r="C179" s="1">
        <v>18.0</v>
      </c>
      <c r="D179" s="3" t="s">
        <v>32</v>
      </c>
      <c r="E179" s="3" t="s">
        <v>392</v>
      </c>
      <c r="F179" s="5" t="s">
        <v>393</v>
      </c>
      <c r="G179" s="3">
        <f t="array" ref="G179">SUMPRODUCT(--(TRIM($E$2:$E$421)=TRIM(E179)))</f>
        <v>1</v>
      </c>
      <c r="H179" s="3" t="s">
        <v>301</v>
      </c>
      <c r="I179" s="3" t="s">
        <v>302</v>
      </c>
      <c r="J179" s="3"/>
      <c r="K179" s="3"/>
      <c r="L179" s="3"/>
      <c r="M179" s="3"/>
      <c r="N179" s="3"/>
      <c r="O179" s="3"/>
      <c r="P179" s="3"/>
      <c r="Q179" s="3"/>
      <c r="R179" s="3"/>
      <c r="S179" s="3"/>
      <c r="T179" s="3"/>
      <c r="U179" s="3"/>
      <c r="V179" s="3"/>
      <c r="W179" s="3"/>
      <c r="X179" s="3"/>
      <c r="Y179" s="3"/>
      <c r="Z179" s="3"/>
    </row>
    <row r="180" ht="27.0" customHeight="1">
      <c r="A180" s="3" t="s">
        <v>9</v>
      </c>
      <c r="B180" s="4" t="s">
        <v>348</v>
      </c>
      <c r="C180" s="1">
        <v>19.0</v>
      </c>
      <c r="D180" s="3" t="s">
        <v>394</v>
      </c>
      <c r="E180" s="3" t="s">
        <v>395</v>
      </c>
      <c r="F180" s="5" t="s">
        <v>396</v>
      </c>
      <c r="G180" s="3">
        <f t="array" ref="G180">SUMPRODUCT(--(TRIM($E$2:$E$421)=TRIM(E180)))</f>
        <v>1</v>
      </c>
      <c r="H180" s="3" t="s">
        <v>301</v>
      </c>
      <c r="I180" s="3" t="s">
        <v>302</v>
      </c>
      <c r="J180" s="3"/>
      <c r="K180" s="3"/>
      <c r="L180" s="3"/>
      <c r="M180" s="3"/>
      <c r="N180" s="3"/>
      <c r="O180" s="3"/>
      <c r="P180" s="3"/>
      <c r="Q180" s="3"/>
      <c r="R180" s="3"/>
      <c r="S180" s="3"/>
      <c r="T180" s="3"/>
      <c r="U180" s="3"/>
      <c r="V180" s="3"/>
      <c r="W180" s="3"/>
      <c r="X180" s="3"/>
      <c r="Y180" s="3"/>
      <c r="Z180" s="3"/>
    </row>
    <row r="181" ht="27.0" customHeight="1">
      <c r="A181" s="3" t="s">
        <v>9</v>
      </c>
      <c r="B181" s="4" t="s">
        <v>348</v>
      </c>
      <c r="C181" s="1">
        <v>20.0</v>
      </c>
      <c r="D181" s="3" t="s">
        <v>397</v>
      </c>
      <c r="E181" s="3" t="s">
        <v>398</v>
      </c>
      <c r="F181" s="5" t="s">
        <v>399</v>
      </c>
      <c r="G181" s="3">
        <f t="array" ref="G181">SUMPRODUCT(--(TRIM($E$2:$E$421)=TRIM(E181)))</f>
        <v>1</v>
      </c>
      <c r="H181" s="3" t="s">
        <v>150</v>
      </c>
      <c r="I181" s="3" t="s">
        <v>352</v>
      </c>
      <c r="J181" s="3"/>
      <c r="K181" s="3"/>
      <c r="L181" s="3"/>
      <c r="M181" s="3"/>
      <c r="N181" s="3"/>
      <c r="O181" s="3"/>
      <c r="P181" s="3"/>
      <c r="Q181" s="3"/>
      <c r="R181" s="3"/>
      <c r="S181" s="3"/>
      <c r="T181" s="3"/>
      <c r="U181" s="3"/>
      <c r="V181" s="3"/>
      <c r="W181" s="3"/>
      <c r="X181" s="3"/>
      <c r="Y181" s="3"/>
      <c r="Z181" s="3"/>
    </row>
    <row r="182" ht="27.0" customHeight="1">
      <c r="A182" s="3" t="s">
        <v>9</v>
      </c>
      <c r="B182" s="4" t="s">
        <v>348</v>
      </c>
      <c r="C182" s="1">
        <v>21.0</v>
      </c>
      <c r="D182" s="3" t="s">
        <v>400</v>
      </c>
      <c r="E182" s="3" t="s">
        <v>401</v>
      </c>
      <c r="F182" s="5" t="s">
        <v>402</v>
      </c>
      <c r="G182" s="3">
        <f t="array" ref="G182">SUMPRODUCT(--(TRIM($E$2:$E$421)=TRIM(E182)))</f>
        <v>1</v>
      </c>
      <c r="H182" s="3" t="s">
        <v>114</v>
      </c>
      <c r="I182" s="3" t="s">
        <v>115</v>
      </c>
      <c r="J182" s="3"/>
      <c r="K182" s="3"/>
      <c r="L182" s="3"/>
      <c r="M182" s="3"/>
      <c r="N182" s="3"/>
      <c r="O182" s="3"/>
      <c r="P182" s="3"/>
      <c r="Q182" s="3"/>
      <c r="R182" s="3"/>
      <c r="S182" s="3"/>
      <c r="T182" s="3"/>
      <c r="U182" s="3"/>
      <c r="V182" s="3"/>
      <c r="W182" s="3"/>
      <c r="X182" s="3"/>
      <c r="Y182" s="3"/>
      <c r="Z182" s="3"/>
    </row>
    <row r="183" ht="27.0" customHeight="1">
      <c r="A183" s="3" t="s">
        <v>9</v>
      </c>
      <c r="B183" s="4" t="s">
        <v>348</v>
      </c>
      <c r="C183" s="1">
        <v>22.0</v>
      </c>
      <c r="D183" s="3" t="s">
        <v>32</v>
      </c>
      <c r="E183" s="3" t="s">
        <v>403</v>
      </c>
      <c r="F183" s="5" t="s">
        <v>404</v>
      </c>
      <c r="G183" s="3">
        <f t="array" ref="G183">SUMPRODUCT(--(TRIM($E$2:$E$421)=TRIM(E183)))</f>
        <v>1</v>
      </c>
      <c r="H183" s="3" t="s">
        <v>317</v>
      </c>
      <c r="I183" s="3" t="s">
        <v>137</v>
      </c>
      <c r="J183" s="3"/>
      <c r="K183" s="3"/>
      <c r="L183" s="3"/>
      <c r="M183" s="3"/>
      <c r="N183" s="3"/>
      <c r="O183" s="3"/>
      <c r="P183" s="3"/>
      <c r="Q183" s="3"/>
      <c r="R183" s="3"/>
      <c r="S183" s="3"/>
      <c r="T183" s="3"/>
      <c r="U183" s="3"/>
      <c r="V183" s="3"/>
      <c r="W183" s="3"/>
      <c r="X183" s="3"/>
      <c r="Y183" s="3"/>
      <c r="Z183" s="3"/>
    </row>
    <row r="184" ht="27.0" customHeight="1">
      <c r="A184" s="3" t="s">
        <v>9</v>
      </c>
      <c r="B184" s="4" t="s">
        <v>348</v>
      </c>
      <c r="C184" s="1">
        <v>23.0</v>
      </c>
      <c r="D184" s="3" t="s">
        <v>32</v>
      </c>
      <c r="E184" s="3" t="s">
        <v>405</v>
      </c>
      <c r="F184" s="5" t="s">
        <v>406</v>
      </c>
      <c r="G184" s="3">
        <f t="array" ref="G184">SUMPRODUCT(--(TRIM($E$2:$E$421)=TRIM(E184)))</f>
        <v>1</v>
      </c>
      <c r="H184" s="3" t="s">
        <v>301</v>
      </c>
      <c r="I184" s="3" t="s">
        <v>302</v>
      </c>
      <c r="J184" s="3"/>
      <c r="K184" s="3"/>
      <c r="L184" s="3"/>
      <c r="M184" s="3"/>
      <c r="N184" s="3"/>
      <c r="O184" s="3"/>
      <c r="P184" s="3"/>
      <c r="Q184" s="3"/>
      <c r="R184" s="3"/>
      <c r="S184" s="3"/>
      <c r="T184" s="3"/>
      <c r="U184" s="3"/>
      <c r="V184" s="3"/>
      <c r="W184" s="3"/>
      <c r="X184" s="3"/>
      <c r="Y184" s="3"/>
      <c r="Z184" s="3"/>
    </row>
    <row r="185" ht="27.0" customHeight="1">
      <c r="A185" s="3" t="s">
        <v>9</v>
      </c>
      <c r="B185" s="4" t="s">
        <v>348</v>
      </c>
      <c r="C185" s="1">
        <v>24.0</v>
      </c>
      <c r="D185" s="3" t="s">
        <v>32</v>
      </c>
      <c r="E185" s="5" t="s">
        <v>103</v>
      </c>
      <c r="F185" s="5" t="s">
        <v>104</v>
      </c>
      <c r="G185" s="3">
        <f t="array" ref="G185">SUMPRODUCT(--(TRIM($E$2:$E$421)=TRIM(E185)))</f>
        <v>4</v>
      </c>
      <c r="H185" s="3" t="s">
        <v>105</v>
      </c>
      <c r="I185" s="3" t="s">
        <v>106</v>
      </c>
      <c r="J185" s="5"/>
      <c r="K185" s="3"/>
      <c r="L185" s="3"/>
      <c r="M185" s="3"/>
      <c r="N185" s="3"/>
      <c r="O185" s="3"/>
      <c r="P185" s="3"/>
      <c r="Q185" s="3"/>
      <c r="R185" s="3"/>
      <c r="S185" s="3"/>
      <c r="T185" s="3"/>
      <c r="U185" s="3"/>
      <c r="V185" s="3"/>
      <c r="W185" s="3"/>
      <c r="X185" s="3"/>
      <c r="Y185" s="3"/>
      <c r="Z185" s="3"/>
    </row>
    <row r="186" ht="27.0" customHeight="1">
      <c r="A186" s="3" t="s">
        <v>9</v>
      </c>
      <c r="B186" s="4" t="s">
        <v>348</v>
      </c>
      <c r="C186" s="1">
        <v>25.0</v>
      </c>
      <c r="D186" s="3" t="s">
        <v>407</v>
      </c>
      <c r="E186" s="3" t="s">
        <v>408</v>
      </c>
      <c r="F186" s="5" t="s">
        <v>409</v>
      </c>
      <c r="G186" s="3">
        <f t="array" ref="G186">SUMPRODUCT(--(TRIM($E$2:$E$421)=TRIM(E186)))</f>
        <v>1</v>
      </c>
      <c r="H186" s="3" t="s">
        <v>14</v>
      </c>
      <c r="I186" s="3" t="s">
        <v>110</v>
      </c>
      <c r="J186" s="3"/>
      <c r="K186" s="3"/>
      <c r="L186" s="3"/>
      <c r="M186" s="3"/>
      <c r="N186" s="3"/>
      <c r="O186" s="3"/>
      <c r="P186" s="3"/>
      <c r="Q186" s="3"/>
      <c r="R186" s="3"/>
      <c r="S186" s="3"/>
      <c r="T186" s="3"/>
      <c r="U186" s="3"/>
      <c r="V186" s="3"/>
      <c r="W186" s="3"/>
      <c r="X186" s="3"/>
      <c r="Y186" s="3"/>
      <c r="Z186" s="3"/>
    </row>
    <row r="187" ht="27.0" customHeight="1">
      <c r="A187" s="3" t="s">
        <v>9</v>
      </c>
      <c r="B187" s="4" t="s">
        <v>348</v>
      </c>
      <c r="C187" s="1">
        <v>26.0</v>
      </c>
      <c r="D187" s="3" t="s">
        <v>410</v>
      </c>
      <c r="E187" s="3" t="s">
        <v>411</v>
      </c>
      <c r="F187" s="5" t="s">
        <v>412</v>
      </c>
      <c r="G187" s="3">
        <f t="array" ref="G187">SUMPRODUCT(--(TRIM($E$2:$E$421)=TRIM(E187)))</f>
        <v>1</v>
      </c>
      <c r="H187" s="3" t="s">
        <v>413</v>
      </c>
      <c r="I187" s="3" t="s">
        <v>384</v>
      </c>
      <c r="J187" s="3"/>
      <c r="K187" s="3"/>
      <c r="L187" s="3"/>
      <c r="M187" s="3"/>
      <c r="N187" s="3"/>
      <c r="O187" s="3"/>
      <c r="P187" s="3"/>
      <c r="Q187" s="3"/>
      <c r="R187" s="3"/>
      <c r="S187" s="3"/>
      <c r="T187" s="3"/>
      <c r="U187" s="3"/>
      <c r="V187" s="3"/>
      <c r="W187" s="3"/>
      <c r="X187" s="3"/>
      <c r="Y187" s="3"/>
      <c r="Z187" s="3"/>
    </row>
    <row r="188" ht="27.0" customHeight="1">
      <c r="A188" s="3" t="s">
        <v>9</v>
      </c>
      <c r="B188" s="4" t="s">
        <v>348</v>
      </c>
      <c r="C188" s="1">
        <v>27.0</v>
      </c>
      <c r="D188" s="3" t="s">
        <v>32</v>
      </c>
      <c r="E188" s="3" t="s">
        <v>414</v>
      </c>
      <c r="F188" s="5" t="s">
        <v>415</v>
      </c>
      <c r="G188" s="3">
        <f t="array" ref="G188">SUMPRODUCT(--(TRIM($E$2:$E$421)=TRIM(E188)))</f>
        <v>1</v>
      </c>
      <c r="H188" s="3" t="s">
        <v>150</v>
      </c>
      <c r="I188" s="3" t="s">
        <v>137</v>
      </c>
      <c r="J188" s="3"/>
      <c r="K188" s="3"/>
      <c r="L188" s="3"/>
      <c r="M188" s="3"/>
      <c r="N188" s="3"/>
      <c r="O188" s="3"/>
      <c r="P188" s="3"/>
      <c r="Q188" s="3"/>
      <c r="R188" s="3"/>
      <c r="S188" s="3"/>
      <c r="T188" s="3"/>
      <c r="U188" s="3"/>
      <c r="V188" s="3"/>
      <c r="W188" s="3"/>
      <c r="X188" s="3"/>
      <c r="Y188" s="3"/>
      <c r="Z188" s="3"/>
    </row>
    <row r="189" ht="27.0" customHeight="1">
      <c r="A189" s="3" t="s">
        <v>9</v>
      </c>
      <c r="B189" s="4" t="s">
        <v>348</v>
      </c>
      <c r="C189" s="1">
        <v>28.0</v>
      </c>
      <c r="D189" s="3" t="s">
        <v>321</v>
      </c>
      <c r="E189" s="5" t="s">
        <v>71</v>
      </c>
      <c r="F189" s="5" t="s">
        <v>72</v>
      </c>
      <c r="G189" s="3">
        <f t="array" ref="G189">SUMPRODUCT(--(TRIM($E$2:$E$421)=TRIM(E189)))</f>
        <v>4</v>
      </c>
      <c r="H189" s="3" t="s">
        <v>73</v>
      </c>
      <c r="I189" s="3" t="s">
        <v>74</v>
      </c>
      <c r="J189" s="5"/>
      <c r="K189" s="3"/>
      <c r="L189" s="3"/>
      <c r="M189" s="3"/>
      <c r="N189" s="3"/>
      <c r="O189" s="3"/>
      <c r="P189" s="3"/>
      <c r="Q189" s="3"/>
      <c r="R189" s="3"/>
      <c r="S189" s="3"/>
      <c r="T189" s="3"/>
      <c r="U189" s="3"/>
      <c r="V189" s="3"/>
      <c r="W189" s="3"/>
      <c r="X189" s="3"/>
      <c r="Y189" s="3"/>
      <c r="Z189" s="3"/>
    </row>
    <row r="190" ht="27.0" customHeight="1">
      <c r="A190" s="3" t="s">
        <v>9</v>
      </c>
      <c r="B190" s="4" t="s">
        <v>348</v>
      </c>
      <c r="C190" s="1">
        <v>29.0</v>
      </c>
      <c r="D190" s="3" t="s">
        <v>416</v>
      </c>
      <c r="E190" s="3" t="s">
        <v>417</v>
      </c>
      <c r="F190" s="5" t="s">
        <v>418</v>
      </c>
      <c r="G190" s="3">
        <f t="array" ref="G190">SUMPRODUCT(--(TRIM($E$2:$E$421)=TRIM(E190)))</f>
        <v>1</v>
      </c>
      <c r="H190" s="3" t="s">
        <v>338</v>
      </c>
      <c r="I190" s="3" t="s">
        <v>339</v>
      </c>
      <c r="J190" s="3"/>
      <c r="K190" s="3"/>
      <c r="L190" s="3"/>
      <c r="M190" s="3"/>
      <c r="N190" s="3"/>
      <c r="O190" s="3"/>
      <c r="P190" s="3"/>
      <c r="Q190" s="3"/>
      <c r="R190" s="3"/>
      <c r="S190" s="3"/>
      <c r="T190" s="3"/>
      <c r="U190" s="3"/>
      <c r="V190" s="3"/>
      <c r="W190" s="3"/>
      <c r="X190" s="3"/>
      <c r="Y190" s="3"/>
      <c r="Z190" s="3"/>
    </row>
    <row r="191" ht="27.0" customHeight="1">
      <c r="A191" s="3" t="s">
        <v>9</v>
      </c>
      <c r="B191" s="4" t="s">
        <v>348</v>
      </c>
      <c r="C191" s="1">
        <v>30.0</v>
      </c>
      <c r="D191" s="3" t="s">
        <v>61</v>
      </c>
      <c r="E191" s="5" t="s">
        <v>62</v>
      </c>
      <c r="F191" s="5" t="s">
        <v>63</v>
      </c>
      <c r="G191" s="3">
        <f t="array" ref="G191">SUMPRODUCT(--(TRIM($E$2:$E$421)=TRIM(E191)))</f>
        <v>5</v>
      </c>
      <c r="H191" s="3" t="s">
        <v>64</v>
      </c>
      <c r="I191" s="3" t="s">
        <v>65</v>
      </c>
      <c r="J191" s="5"/>
      <c r="K191" s="3"/>
      <c r="L191" s="3"/>
      <c r="M191" s="3"/>
      <c r="N191" s="3"/>
      <c r="O191" s="3"/>
      <c r="P191" s="3"/>
      <c r="Q191" s="3"/>
      <c r="R191" s="3"/>
      <c r="S191" s="3"/>
      <c r="T191" s="3"/>
      <c r="U191" s="3"/>
      <c r="V191" s="3"/>
      <c r="W191" s="3"/>
      <c r="X191" s="3"/>
      <c r="Y191" s="3"/>
      <c r="Z191" s="3"/>
    </row>
    <row r="192" ht="27.0" customHeight="1">
      <c r="A192" s="3" t="s">
        <v>9</v>
      </c>
      <c r="B192" s="4" t="s">
        <v>348</v>
      </c>
      <c r="C192" s="1">
        <v>31.0</v>
      </c>
      <c r="D192" s="3" t="s">
        <v>419</v>
      </c>
      <c r="E192" s="3" t="s">
        <v>420</v>
      </c>
      <c r="F192" s="5" t="s">
        <v>421</v>
      </c>
      <c r="G192" s="3">
        <f t="array" ref="G192">SUMPRODUCT(--(TRIM($E$2:$E$421)=TRIM(E192)))</f>
        <v>1</v>
      </c>
      <c r="H192" s="3" t="s">
        <v>114</v>
      </c>
      <c r="I192" s="3" t="s">
        <v>115</v>
      </c>
      <c r="J192" s="3"/>
      <c r="K192" s="3"/>
      <c r="L192" s="3"/>
      <c r="M192" s="3"/>
      <c r="N192" s="3"/>
      <c r="O192" s="3"/>
      <c r="P192" s="3"/>
      <c r="Q192" s="3"/>
      <c r="R192" s="3"/>
      <c r="S192" s="3"/>
      <c r="T192" s="3"/>
      <c r="U192" s="3"/>
      <c r="V192" s="3"/>
      <c r="W192" s="3"/>
      <c r="X192" s="3"/>
      <c r="Y192" s="3"/>
      <c r="Z192" s="3"/>
    </row>
    <row r="193" ht="27.0" customHeight="1">
      <c r="A193" s="3" t="s">
        <v>9</v>
      </c>
      <c r="B193" s="4" t="s">
        <v>348</v>
      </c>
      <c r="C193" s="1">
        <v>32.0</v>
      </c>
      <c r="D193" s="3" t="s">
        <v>422</v>
      </c>
      <c r="E193" s="3" t="s">
        <v>423</v>
      </c>
      <c r="F193" s="5" t="s">
        <v>424</v>
      </c>
      <c r="G193" s="3">
        <f t="array" ref="G193">SUMPRODUCT(--(TRIM($E$2:$E$421)=TRIM(E193)))</f>
        <v>1</v>
      </c>
      <c r="H193" s="3" t="s">
        <v>301</v>
      </c>
      <c r="I193" s="3" t="s">
        <v>302</v>
      </c>
      <c r="J193" s="3"/>
      <c r="K193" s="3"/>
      <c r="L193" s="3"/>
      <c r="M193" s="3"/>
      <c r="N193" s="3"/>
      <c r="O193" s="3"/>
      <c r="P193" s="3"/>
      <c r="Q193" s="3"/>
      <c r="R193" s="3"/>
      <c r="S193" s="3"/>
      <c r="T193" s="3"/>
      <c r="U193" s="3"/>
      <c r="V193" s="3"/>
      <c r="W193" s="3"/>
      <c r="X193" s="3"/>
      <c r="Y193" s="3"/>
      <c r="Z193" s="3"/>
    </row>
    <row r="194" ht="27.0" customHeight="1">
      <c r="A194" s="3" t="s">
        <v>9</v>
      </c>
      <c r="B194" s="4" t="s">
        <v>348</v>
      </c>
      <c r="C194" s="1">
        <v>33.0</v>
      </c>
      <c r="D194" s="3" t="s">
        <v>32</v>
      </c>
      <c r="E194" s="3" t="s">
        <v>425</v>
      </c>
      <c r="F194" s="5" t="s">
        <v>426</v>
      </c>
      <c r="G194" s="3">
        <f t="array" ref="G194">SUMPRODUCT(--(TRIM($E$2:$E$421)=TRIM(E194)))</f>
        <v>1</v>
      </c>
      <c r="H194" s="3" t="s">
        <v>413</v>
      </c>
      <c r="I194" s="3" t="s">
        <v>384</v>
      </c>
      <c r="J194" s="3"/>
      <c r="K194" s="3"/>
      <c r="L194" s="3"/>
      <c r="M194" s="3"/>
      <c r="N194" s="3"/>
      <c r="O194" s="3"/>
      <c r="P194" s="3"/>
      <c r="Q194" s="3"/>
      <c r="R194" s="3"/>
      <c r="S194" s="3"/>
      <c r="T194" s="3"/>
      <c r="U194" s="3"/>
      <c r="V194" s="3"/>
      <c r="W194" s="3"/>
      <c r="X194" s="3"/>
      <c r="Y194" s="3"/>
      <c r="Z194" s="3"/>
    </row>
    <row r="195" ht="27.0" customHeight="1">
      <c r="A195" s="3" t="s">
        <v>9</v>
      </c>
      <c r="B195" s="4" t="s">
        <v>348</v>
      </c>
      <c r="C195" s="1">
        <v>34.0</v>
      </c>
      <c r="D195" s="3" t="s">
        <v>32</v>
      </c>
      <c r="E195" s="3" t="s">
        <v>427</v>
      </c>
      <c r="F195" s="5" t="s">
        <v>428</v>
      </c>
      <c r="G195" s="3">
        <f t="array" ref="G195">SUMPRODUCT(--(TRIM($E$2:$E$421)=TRIM(E195)))</f>
        <v>1</v>
      </c>
      <c r="H195" s="3" t="s">
        <v>141</v>
      </c>
      <c r="I195" s="3" t="s">
        <v>55</v>
      </c>
      <c r="J195" s="3"/>
      <c r="K195" s="3"/>
      <c r="L195" s="3"/>
      <c r="M195" s="3"/>
      <c r="N195" s="3"/>
      <c r="O195" s="3"/>
      <c r="P195" s="3"/>
      <c r="Q195" s="3"/>
      <c r="R195" s="3"/>
      <c r="S195" s="3"/>
      <c r="T195" s="3"/>
      <c r="U195" s="3"/>
      <c r="V195" s="3"/>
      <c r="W195" s="3"/>
      <c r="X195" s="3"/>
      <c r="Y195" s="3"/>
      <c r="Z195" s="3"/>
    </row>
    <row r="196" ht="27.0" customHeight="1">
      <c r="A196" s="3" t="s">
        <v>9</v>
      </c>
      <c r="B196" s="4" t="s">
        <v>348</v>
      </c>
      <c r="C196" s="1">
        <v>35.0</v>
      </c>
      <c r="D196" s="3" t="s">
        <v>32</v>
      </c>
      <c r="E196" s="3" t="s">
        <v>429</v>
      </c>
      <c r="F196" s="5" t="s">
        <v>430</v>
      </c>
      <c r="G196" s="3">
        <f t="array" ref="G196">SUMPRODUCT(--(TRIM($E$2:$E$421)=TRIM(E196)))</f>
        <v>1</v>
      </c>
      <c r="H196" s="3" t="s">
        <v>333</v>
      </c>
      <c r="I196" s="3" t="s">
        <v>115</v>
      </c>
      <c r="J196" s="3"/>
      <c r="K196" s="3"/>
      <c r="L196" s="3"/>
      <c r="M196" s="3"/>
      <c r="N196" s="3"/>
      <c r="O196" s="3"/>
      <c r="P196" s="3"/>
      <c r="Q196" s="3"/>
      <c r="R196" s="3"/>
      <c r="S196" s="3"/>
      <c r="T196" s="3"/>
      <c r="U196" s="3"/>
      <c r="V196" s="3"/>
      <c r="W196" s="3"/>
      <c r="X196" s="3"/>
      <c r="Y196" s="3"/>
      <c r="Z196" s="3"/>
    </row>
    <row r="197" ht="27.0" customHeight="1">
      <c r="A197" s="3" t="s">
        <v>9</v>
      </c>
      <c r="B197" s="4" t="s">
        <v>348</v>
      </c>
      <c r="C197" s="1">
        <v>36.0</v>
      </c>
      <c r="D197" s="3" t="s">
        <v>431</v>
      </c>
      <c r="E197" s="3" t="s">
        <v>432</v>
      </c>
      <c r="F197" s="5" t="s">
        <v>433</v>
      </c>
      <c r="G197" s="3">
        <f t="array" ref="G197">SUMPRODUCT(--(TRIM($E$2:$E$421)=TRIM(E197)))</f>
        <v>1</v>
      </c>
      <c r="H197" s="3" t="s">
        <v>39</v>
      </c>
      <c r="I197" s="3" t="s">
        <v>40</v>
      </c>
      <c r="J197" s="3"/>
      <c r="K197" s="3"/>
      <c r="L197" s="3"/>
      <c r="M197" s="3"/>
      <c r="N197" s="3"/>
      <c r="O197" s="3"/>
      <c r="P197" s="3"/>
      <c r="Q197" s="3"/>
      <c r="R197" s="3"/>
      <c r="S197" s="3"/>
      <c r="T197" s="3"/>
      <c r="U197" s="3"/>
      <c r="V197" s="3"/>
      <c r="W197" s="3"/>
      <c r="X197" s="3"/>
      <c r="Y197" s="3"/>
      <c r="Z197" s="3"/>
    </row>
    <row r="198" ht="27.0" customHeight="1">
      <c r="A198" s="3" t="s">
        <v>9</v>
      </c>
      <c r="B198" s="4" t="s">
        <v>348</v>
      </c>
      <c r="C198" s="1">
        <v>37.0</v>
      </c>
      <c r="D198" s="3" t="s">
        <v>32</v>
      </c>
      <c r="E198" s="3" t="s">
        <v>434</v>
      </c>
      <c r="F198" s="5" t="s">
        <v>435</v>
      </c>
      <c r="G198" s="3">
        <f t="array" ref="G198">SUMPRODUCT(--(TRIM($E$2:$E$421)=TRIM(E198)))</f>
        <v>1</v>
      </c>
      <c r="H198" s="3" t="s">
        <v>301</v>
      </c>
      <c r="I198" s="3" t="s">
        <v>302</v>
      </c>
      <c r="J198" s="3"/>
      <c r="K198" s="3"/>
      <c r="L198" s="3"/>
      <c r="M198" s="3"/>
      <c r="N198" s="3"/>
      <c r="O198" s="3"/>
      <c r="P198" s="3"/>
      <c r="Q198" s="3"/>
      <c r="R198" s="3"/>
      <c r="S198" s="3"/>
      <c r="T198" s="3"/>
      <c r="U198" s="3"/>
      <c r="V198" s="3"/>
      <c r="W198" s="3"/>
      <c r="X198" s="3"/>
      <c r="Y198" s="3"/>
      <c r="Z198" s="3"/>
    </row>
    <row r="199" ht="27.0" customHeight="1">
      <c r="A199" s="3" t="s">
        <v>9</v>
      </c>
      <c r="B199" s="4" t="s">
        <v>348</v>
      </c>
      <c r="C199" s="1">
        <v>38.0</v>
      </c>
      <c r="D199" s="3" t="s">
        <v>32</v>
      </c>
      <c r="E199" s="3" t="s">
        <v>436</v>
      </c>
      <c r="F199" s="5" t="s">
        <v>437</v>
      </c>
      <c r="G199" s="3">
        <f t="array" ref="G199">SUMPRODUCT(--(TRIM($E$2:$E$421)=TRIM(E199)))</f>
        <v>1</v>
      </c>
      <c r="H199" s="3" t="s">
        <v>150</v>
      </c>
      <c r="I199" s="3" t="s">
        <v>352</v>
      </c>
      <c r="J199" s="3"/>
      <c r="K199" s="3"/>
      <c r="L199" s="3"/>
      <c r="M199" s="3"/>
      <c r="N199" s="3"/>
      <c r="O199" s="3"/>
      <c r="P199" s="3"/>
      <c r="Q199" s="3"/>
      <c r="R199" s="3"/>
      <c r="S199" s="3"/>
      <c r="T199" s="3"/>
      <c r="U199" s="3"/>
      <c r="V199" s="3"/>
      <c r="W199" s="3"/>
      <c r="X199" s="3"/>
      <c r="Y199" s="3"/>
      <c r="Z199" s="3"/>
    </row>
    <row r="200" ht="27.0" customHeight="1">
      <c r="A200" s="3" t="s">
        <v>9</v>
      </c>
      <c r="B200" s="4" t="s">
        <v>348</v>
      </c>
      <c r="C200" s="1">
        <v>39.0</v>
      </c>
      <c r="D200" s="3" t="s">
        <v>438</v>
      </c>
      <c r="E200" s="3" t="s">
        <v>439</v>
      </c>
      <c r="F200" s="5" t="s">
        <v>440</v>
      </c>
      <c r="G200" s="3">
        <f t="array" ref="G200">SUMPRODUCT(--(TRIM($E$2:$E$421)=TRIM(E200)))</f>
        <v>1</v>
      </c>
      <c r="H200" s="3" t="s">
        <v>114</v>
      </c>
      <c r="I200" s="3" t="s">
        <v>115</v>
      </c>
      <c r="J200" s="3"/>
      <c r="K200" s="3"/>
      <c r="L200" s="3"/>
      <c r="M200" s="3"/>
      <c r="N200" s="3"/>
      <c r="O200" s="3"/>
      <c r="P200" s="3"/>
      <c r="Q200" s="3"/>
      <c r="R200" s="3"/>
      <c r="S200" s="3"/>
      <c r="T200" s="3"/>
      <c r="U200" s="3"/>
      <c r="V200" s="3"/>
      <c r="W200" s="3"/>
      <c r="X200" s="3"/>
      <c r="Y200" s="3"/>
      <c r="Z200" s="3"/>
    </row>
    <row r="201" ht="27.0" customHeight="1">
      <c r="A201" s="3" t="s">
        <v>9</v>
      </c>
      <c r="B201" s="4" t="s">
        <v>348</v>
      </c>
      <c r="C201" s="1">
        <v>40.0</v>
      </c>
      <c r="D201" s="3" t="s">
        <v>441</v>
      </c>
      <c r="E201" s="3" t="s">
        <v>442</v>
      </c>
      <c r="F201" s="5" t="s">
        <v>443</v>
      </c>
      <c r="G201" s="3">
        <f t="array" ref="G201">SUMPRODUCT(--(TRIM($E$2:$E$421)=TRIM(E201)))</f>
        <v>1</v>
      </c>
      <c r="H201" s="3" t="s">
        <v>114</v>
      </c>
      <c r="I201" s="3" t="s">
        <v>115</v>
      </c>
      <c r="J201" s="3"/>
      <c r="K201" s="3"/>
      <c r="L201" s="3"/>
      <c r="M201" s="3"/>
      <c r="N201" s="3"/>
      <c r="O201" s="3"/>
      <c r="P201" s="3"/>
      <c r="Q201" s="3"/>
      <c r="R201" s="3"/>
      <c r="S201" s="3"/>
      <c r="T201" s="3"/>
      <c r="U201" s="3"/>
      <c r="V201" s="3"/>
      <c r="W201" s="3"/>
      <c r="X201" s="3"/>
      <c r="Y201" s="3"/>
      <c r="Z201" s="3"/>
    </row>
    <row r="202" ht="27.0" customHeight="1">
      <c r="A202" s="3" t="s">
        <v>9</v>
      </c>
      <c r="B202" s="4" t="s">
        <v>348</v>
      </c>
      <c r="C202" s="1">
        <v>41.0</v>
      </c>
      <c r="D202" s="3" t="s">
        <v>444</v>
      </c>
      <c r="E202" s="3" t="s">
        <v>445</v>
      </c>
      <c r="F202" s="5" t="s">
        <v>446</v>
      </c>
      <c r="G202" s="3">
        <f t="array" ref="G202">SUMPRODUCT(--(TRIM($E$2:$E$421)=TRIM(E202)))</f>
        <v>1</v>
      </c>
      <c r="H202" s="3" t="s">
        <v>91</v>
      </c>
      <c r="I202" s="3" t="s">
        <v>92</v>
      </c>
      <c r="J202" s="3"/>
      <c r="K202" s="3"/>
      <c r="L202" s="3"/>
      <c r="M202" s="3"/>
      <c r="N202" s="3"/>
      <c r="O202" s="3"/>
      <c r="P202" s="3"/>
      <c r="Q202" s="3"/>
      <c r="R202" s="3"/>
      <c r="S202" s="3"/>
      <c r="T202" s="3"/>
      <c r="U202" s="3"/>
      <c r="V202" s="3"/>
      <c r="W202" s="3"/>
      <c r="X202" s="3"/>
      <c r="Y202" s="3"/>
      <c r="Z202" s="3"/>
    </row>
    <row r="203" ht="27.0" customHeight="1">
      <c r="A203" s="3" t="s">
        <v>9</v>
      </c>
      <c r="B203" s="4" t="s">
        <v>348</v>
      </c>
      <c r="C203" s="1">
        <v>42.0</v>
      </c>
      <c r="D203" s="3" t="s">
        <v>32</v>
      </c>
      <c r="E203" s="3" t="s">
        <v>447</v>
      </c>
      <c r="F203" s="5" t="s">
        <v>448</v>
      </c>
      <c r="G203" s="3">
        <f t="array" ref="G203">SUMPRODUCT(--(TRIM($E$2:$E$421)=TRIM(E203)))</f>
        <v>1</v>
      </c>
      <c r="H203" s="3" t="s">
        <v>301</v>
      </c>
      <c r="I203" s="3" t="s">
        <v>302</v>
      </c>
      <c r="J203" s="3"/>
      <c r="K203" s="3"/>
      <c r="L203" s="3"/>
      <c r="M203" s="3"/>
      <c r="N203" s="3"/>
      <c r="O203" s="3"/>
      <c r="P203" s="3"/>
      <c r="Q203" s="3"/>
      <c r="R203" s="3"/>
      <c r="S203" s="3"/>
      <c r="T203" s="3"/>
      <c r="U203" s="3"/>
      <c r="V203" s="3"/>
      <c r="W203" s="3"/>
      <c r="X203" s="3"/>
      <c r="Y203" s="3"/>
      <c r="Z203" s="3"/>
    </row>
    <row r="204" ht="27.0" customHeight="1">
      <c r="A204" s="3" t="s">
        <v>9</v>
      </c>
      <c r="B204" s="4" t="s">
        <v>348</v>
      </c>
      <c r="C204" s="1">
        <v>43.0</v>
      </c>
      <c r="D204" s="3" t="s">
        <v>449</v>
      </c>
      <c r="E204" s="3" t="s">
        <v>450</v>
      </c>
      <c r="F204" s="5" t="s">
        <v>451</v>
      </c>
      <c r="G204" s="3">
        <f t="array" ref="G204">SUMPRODUCT(--(TRIM($E$2:$E$421)=TRIM(E204)))</f>
        <v>1</v>
      </c>
      <c r="H204" s="3" t="s">
        <v>301</v>
      </c>
      <c r="I204" s="3" t="s">
        <v>302</v>
      </c>
      <c r="J204" s="3"/>
      <c r="K204" s="3"/>
      <c r="L204" s="3"/>
      <c r="M204" s="3"/>
      <c r="N204" s="3"/>
      <c r="O204" s="3"/>
      <c r="P204" s="3"/>
      <c r="Q204" s="3"/>
      <c r="R204" s="3"/>
      <c r="S204" s="3"/>
      <c r="T204" s="3"/>
      <c r="U204" s="3"/>
      <c r="V204" s="3"/>
      <c r="W204" s="3"/>
      <c r="X204" s="3"/>
      <c r="Y204" s="3"/>
      <c r="Z204" s="3"/>
    </row>
    <row r="205" ht="27.0" customHeight="1">
      <c r="A205" s="3" t="s">
        <v>9</v>
      </c>
      <c r="B205" s="4" t="s">
        <v>348</v>
      </c>
      <c r="C205" s="1">
        <v>44.0</v>
      </c>
      <c r="D205" s="3" t="s">
        <v>452</v>
      </c>
      <c r="E205" s="3" t="s">
        <v>453</v>
      </c>
      <c r="F205" s="5" t="s">
        <v>454</v>
      </c>
      <c r="G205" s="3">
        <f t="array" ref="G205">SUMPRODUCT(--(TRIM($E$2:$E$421)=TRIM(E205)))</f>
        <v>1</v>
      </c>
      <c r="H205" s="3" t="s">
        <v>73</v>
      </c>
      <c r="I205" s="3" t="s">
        <v>137</v>
      </c>
      <c r="J205" s="3"/>
      <c r="K205" s="3"/>
      <c r="L205" s="3"/>
      <c r="M205" s="3"/>
      <c r="N205" s="3"/>
      <c r="O205" s="3"/>
      <c r="P205" s="3"/>
      <c r="Q205" s="3"/>
      <c r="R205" s="3"/>
      <c r="S205" s="3"/>
      <c r="T205" s="3"/>
      <c r="U205" s="3"/>
      <c r="V205" s="3"/>
      <c r="W205" s="3"/>
      <c r="X205" s="3"/>
      <c r="Y205" s="3"/>
      <c r="Z205" s="3"/>
    </row>
    <row r="206" ht="27.0" customHeight="1">
      <c r="A206" s="3" t="s">
        <v>9</v>
      </c>
      <c r="B206" s="4" t="s">
        <v>348</v>
      </c>
      <c r="C206" s="1">
        <v>45.0</v>
      </c>
      <c r="D206" s="3" t="s">
        <v>455</v>
      </c>
      <c r="E206" s="3" t="s">
        <v>456</v>
      </c>
      <c r="F206" s="5" t="s">
        <v>457</v>
      </c>
      <c r="G206" s="3">
        <f t="array" ref="G206">SUMPRODUCT(--(TRIM($E$2:$E$421)=TRIM(E206)))</f>
        <v>1</v>
      </c>
      <c r="H206" s="3" t="s">
        <v>199</v>
      </c>
      <c r="I206" s="3" t="s">
        <v>15</v>
      </c>
      <c r="J206" s="3"/>
      <c r="K206" s="3"/>
      <c r="L206" s="3"/>
      <c r="M206" s="3"/>
      <c r="N206" s="3"/>
      <c r="O206" s="3"/>
      <c r="P206" s="3"/>
      <c r="Q206" s="3"/>
      <c r="R206" s="3"/>
      <c r="S206" s="3"/>
      <c r="T206" s="3"/>
      <c r="U206" s="3"/>
      <c r="V206" s="3"/>
      <c r="W206" s="3"/>
      <c r="X206" s="3"/>
      <c r="Y206" s="3"/>
      <c r="Z206" s="3"/>
    </row>
    <row r="207" ht="27.0" customHeight="1">
      <c r="A207" s="3" t="s">
        <v>9</v>
      </c>
      <c r="B207" s="4" t="s">
        <v>348</v>
      </c>
      <c r="C207" s="1">
        <v>46.0</v>
      </c>
      <c r="D207" s="3" t="s">
        <v>458</v>
      </c>
      <c r="E207" s="3" t="s">
        <v>459</v>
      </c>
      <c r="F207" s="5" t="s">
        <v>460</v>
      </c>
      <c r="G207" s="3">
        <f t="array" ref="G207">SUMPRODUCT(--(TRIM($E$2:$E$421)=TRIM(E207)))</f>
        <v>1</v>
      </c>
      <c r="H207" s="3" t="s">
        <v>199</v>
      </c>
      <c r="I207" s="3" t="s">
        <v>264</v>
      </c>
      <c r="J207" s="3"/>
      <c r="K207" s="3"/>
      <c r="L207" s="3"/>
      <c r="M207" s="3"/>
      <c r="N207" s="3"/>
      <c r="O207" s="3"/>
      <c r="P207" s="3"/>
      <c r="Q207" s="3"/>
      <c r="R207" s="3"/>
      <c r="S207" s="3"/>
      <c r="T207" s="3"/>
      <c r="U207" s="3"/>
      <c r="V207" s="3"/>
      <c r="W207" s="3"/>
      <c r="X207" s="3"/>
      <c r="Y207" s="3"/>
      <c r="Z207" s="3"/>
    </row>
    <row r="208" ht="27.0" customHeight="1">
      <c r="A208" s="3" t="s">
        <v>9</v>
      </c>
      <c r="B208" s="4" t="s">
        <v>348</v>
      </c>
      <c r="C208" s="1">
        <v>47.0</v>
      </c>
      <c r="D208" s="3" t="s">
        <v>32</v>
      </c>
      <c r="E208" s="3" t="s">
        <v>461</v>
      </c>
      <c r="F208" s="5" t="s">
        <v>462</v>
      </c>
      <c r="G208" s="3">
        <f t="array" ref="G208">SUMPRODUCT(--(TRIM($E$2:$E$421)=TRIM(E208)))</f>
        <v>1</v>
      </c>
      <c r="H208" s="3" t="s">
        <v>301</v>
      </c>
      <c r="I208" s="3" t="s">
        <v>302</v>
      </c>
      <c r="J208" s="3"/>
      <c r="K208" s="3"/>
      <c r="L208" s="3"/>
      <c r="M208" s="3"/>
      <c r="N208" s="3"/>
      <c r="O208" s="3"/>
      <c r="P208" s="3"/>
      <c r="Q208" s="3"/>
      <c r="R208" s="3"/>
      <c r="S208" s="3"/>
      <c r="T208" s="3"/>
      <c r="U208" s="3"/>
      <c r="V208" s="3"/>
      <c r="W208" s="3"/>
      <c r="X208" s="3"/>
      <c r="Y208" s="3"/>
      <c r="Z208" s="3"/>
    </row>
    <row r="209" ht="27.0" customHeight="1">
      <c r="A209" s="3" t="s">
        <v>9</v>
      </c>
      <c r="B209" s="4" t="s">
        <v>348</v>
      </c>
      <c r="C209" s="1">
        <v>48.0</v>
      </c>
      <c r="D209" s="3" t="s">
        <v>32</v>
      </c>
      <c r="E209" s="3" t="s">
        <v>463</v>
      </c>
      <c r="F209" s="5" t="s">
        <v>464</v>
      </c>
      <c r="G209" s="3">
        <f t="array" ref="G209">SUMPRODUCT(--(TRIM($E$2:$E$421)=TRIM(E209)))</f>
        <v>1</v>
      </c>
      <c r="H209" s="3" t="s">
        <v>301</v>
      </c>
      <c r="I209" s="3" t="s">
        <v>302</v>
      </c>
      <c r="J209" s="3"/>
      <c r="K209" s="3"/>
      <c r="L209" s="3"/>
      <c r="M209" s="3"/>
      <c r="N209" s="3"/>
      <c r="O209" s="3"/>
      <c r="P209" s="3"/>
      <c r="Q209" s="3"/>
      <c r="R209" s="3"/>
      <c r="S209" s="3"/>
      <c r="T209" s="3"/>
      <c r="U209" s="3"/>
      <c r="V209" s="3"/>
      <c r="W209" s="3"/>
      <c r="X209" s="3"/>
      <c r="Y209" s="3"/>
      <c r="Z209" s="3"/>
    </row>
    <row r="210" ht="27.0" customHeight="1">
      <c r="A210" s="3" t="s">
        <v>9</v>
      </c>
      <c r="B210" s="4" t="s">
        <v>348</v>
      </c>
      <c r="C210" s="1">
        <v>49.0</v>
      </c>
      <c r="D210" s="3" t="s">
        <v>32</v>
      </c>
      <c r="E210" s="3" t="s">
        <v>465</v>
      </c>
      <c r="F210" s="5" t="s">
        <v>466</v>
      </c>
      <c r="G210" s="3">
        <f t="array" ref="G210">SUMPRODUCT(--(TRIM($E$2:$E$421)=TRIM(E210)))</f>
        <v>1</v>
      </c>
      <c r="H210" s="3" t="s">
        <v>14</v>
      </c>
      <c r="I210" s="3" t="s">
        <v>15</v>
      </c>
      <c r="J210" s="3"/>
      <c r="K210" s="3"/>
      <c r="L210" s="3"/>
      <c r="M210" s="3"/>
      <c r="N210" s="3"/>
      <c r="O210" s="3"/>
      <c r="P210" s="3"/>
      <c r="Q210" s="3"/>
      <c r="R210" s="3"/>
      <c r="S210" s="3"/>
      <c r="T210" s="3"/>
      <c r="U210" s="3"/>
      <c r="V210" s="3"/>
      <c r="W210" s="3"/>
      <c r="X210" s="3"/>
      <c r="Y210" s="3"/>
      <c r="Z210" s="3"/>
    </row>
    <row r="211" ht="27.0" customHeight="1">
      <c r="A211" s="3" t="s">
        <v>9</v>
      </c>
      <c r="B211" s="4" t="s">
        <v>348</v>
      </c>
      <c r="C211" s="1">
        <v>50.0</v>
      </c>
      <c r="D211" s="3" t="s">
        <v>32</v>
      </c>
      <c r="E211" s="3" t="s">
        <v>467</v>
      </c>
      <c r="F211" s="5" t="s">
        <v>468</v>
      </c>
      <c r="G211" s="3">
        <f t="array" ref="G211">SUMPRODUCT(--(TRIM($E$2:$E$421)=TRIM(E211)))</f>
        <v>1</v>
      </c>
      <c r="H211" s="3" t="s">
        <v>14</v>
      </c>
      <c r="I211" s="3" t="s">
        <v>15</v>
      </c>
      <c r="J211" s="3"/>
      <c r="K211" s="3"/>
      <c r="L211" s="3"/>
      <c r="M211" s="3"/>
      <c r="N211" s="3"/>
      <c r="O211" s="3"/>
      <c r="P211" s="3"/>
      <c r="Q211" s="3"/>
      <c r="R211" s="3"/>
      <c r="S211" s="3"/>
      <c r="T211" s="3"/>
      <c r="U211" s="3"/>
      <c r="V211" s="3"/>
      <c r="W211" s="3"/>
      <c r="X211" s="3"/>
      <c r="Y211" s="3"/>
      <c r="Z211" s="3"/>
    </row>
    <row r="212" ht="27.0" customHeight="1">
      <c r="A212" s="3" t="s">
        <v>9</v>
      </c>
      <c r="B212" s="4" t="s">
        <v>469</v>
      </c>
      <c r="C212" s="1">
        <v>1.0</v>
      </c>
      <c r="D212" s="3" t="s">
        <v>470</v>
      </c>
      <c r="E212" s="3" t="s">
        <v>471</v>
      </c>
      <c r="F212" s="5" t="s">
        <v>472</v>
      </c>
      <c r="G212" s="3">
        <f t="array" ref="G212">SUMPRODUCT(--(TRIM($E$2:$E$421)=TRIM(E212)))</f>
        <v>1</v>
      </c>
      <c r="H212" s="3" t="s">
        <v>54</v>
      </c>
      <c r="I212" s="3" t="s">
        <v>102</v>
      </c>
      <c r="J212" s="3"/>
      <c r="K212" s="3"/>
      <c r="L212" s="3"/>
      <c r="M212" s="3"/>
      <c r="N212" s="3"/>
      <c r="O212" s="3"/>
      <c r="P212" s="3"/>
      <c r="Q212" s="3"/>
      <c r="R212" s="3"/>
      <c r="S212" s="3"/>
      <c r="T212" s="3"/>
      <c r="U212" s="3"/>
      <c r="V212" s="3"/>
      <c r="W212" s="3"/>
      <c r="X212" s="3"/>
      <c r="Y212" s="3"/>
      <c r="Z212" s="3"/>
    </row>
    <row r="213" ht="27.0" customHeight="1">
      <c r="A213" s="3" t="s">
        <v>9</v>
      </c>
      <c r="B213" s="4" t="s">
        <v>469</v>
      </c>
      <c r="C213" s="1">
        <v>2.0</v>
      </c>
      <c r="D213" s="3" t="s">
        <v>473</v>
      </c>
      <c r="E213" s="3" t="s">
        <v>474</v>
      </c>
      <c r="F213" s="5" t="s">
        <v>475</v>
      </c>
      <c r="G213" s="3">
        <f t="array" ref="G213">SUMPRODUCT(--(TRIM($E$2:$E$421)=TRIM(E213)))</f>
        <v>1</v>
      </c>
      <c r="H213" s="3" t="s">
        <v>39</v>
      </c>
      <c r="I213" s="3" t="s">
        <v>40</v>
      </c>
      <c r="J213" s="3"/>
      <c r="K213" s="3"/>
      <c r="L213" s="3"/>
      <c r="M213" s="3"/>
      <c r="N213" s="3"/>
      <c r="O213" s="3"/>
      <c r="P213" s="3"/>
      <c r="Q213" s="3"/>
      <c r="R213" s="3"/>
      <c r="S213" s="3"/>
      <c r="T213" s="3"/>
      <c r="U213" s="3"/>
      <c r="V213" s="3"/>
      <c r="W213" s="3"/>
      <c r="X213" s="3"/>
      <c r="Y213" s="3"/>
      <c r="Z213" s="3"/>
    </row>
    <row r="214" ht="27.0" customHeight="1">
      <c r="A214" s="3" t="s">
        <v>9</v>
      </c>
      <c r="B214" s="4" t="s">
        <v>469</v>
      </c>
      <c r="C214" s="1">
        <v>3.0</v>
      </c>
      <c r="D214" s="3" t="s">
        <v>32</v>
      </c>
      <c r="E214" s="3" t="s">
        <v>476</v>
      </c>
      <c r="F214" s="5" t="s">
        <v>477</v>
      </c>
      <c r="G214" s="3">
        <f t="array" ref="G214">SUMPRODUCT(--(TRIM($E$2:$E$421)=TRIM(E214)))</f>
        <v>1</v>
      </c>
      <c r="H214" s="3" t="s">
        <v>39</v>
      </c>
      <c r="I214" s="3" t="s">
        <v>40</v>
      </c>
      <c r="J214" s="3"/>
      <c r="K214" s="3"/>
      <c r="L214" s="3"/>
      <c r="M214" s="3"/>
      <c r="N214" s="3"/>
      <c r="O214" s="3"/>
      <c r="P214" s="3"/>
      <c r="Q214" s="3"/>
      <c r="R214" s="3"/>
      <c r="S214" s="3"/>
      <c r="T214" s="3"/>
      <c r="U214" s="3"/>
      <c r="V214" s="3"/>
      <c r="W214" s="3"/>
      <c r="X214" s="3"/>
      <c r="Y214" s="3"/>
      <c r="Z214" s="3"/>
    </row>
    <row r="215" ht="27.0" customHeight="1">
      <c r="A215" s="3" t="s">
        <v>9</v>
      </c>
      <c r="B215" s="4" t="s">
        <v>469</v>
      </c>
      <c r="C215" s="1">
        <v>4.0</v>
      </c>
      <c r="D215" s="3" t="s">
        <v>478</v>
      </c>
      <c r="E215" s="3" t="s">
        <v>479</v>
      </c>
      <c r="F215" s="5" t="s">
        <v>480</v>
      </c>
      <c r="G215" s="3">
        <f t="array" ref="G215">SUMPRODUCT(--(TRIM($E$2:$E$421)=TRIM(E215)))</f>
        <v>1</v>
      </c>
      <c r="H215" s="3" t="s">
        <v>214</v>
      </c>
      <c r="I215" s="3" t="s">
        <v>215</v>
      </c>
      <c r="J215" s="3"/>
      <c r="K215" s="3"/>
      <c r="L215" s="3"/>
      <c r="M215" s="3"/>
      <c r="N215" s="3"/>
      <c r="O215" s="3"/>
      <c r="P215" s="3"/>
      <c r="Q215" s="3"/>
      <c r="R215" s="3"/>
      <c r="S215" s="3"/>
      <c r="T215" s="3"/>
      <c r="U215" s="3"/>
      <c r="V215" s="3"/>
      <c r="W215" s="3"/>
      <c r="X215" s="3"/>
      <c r="Y215" s="3"/>
      <c r="Z215" s="3"/>
    </row>
    <row r="216" ht="27.0" customHeight="1">
      <c r="A216" s="3" t="s">
        <v>9</v>
      </c>
      <c r="B216" s="4" t="s">
        <v>469</v>
      </c>
      <c r="C216" s="1">
        <v>5.0</v>
      </c>
      <c r="D216" s="3" t="s">
        <v>46</v>
      </c>
      <c r="E216" s="5" t="s">
        <v>47</v>
      </c>
      <c r="F216" s="5" t="s">
        <v>48</v>
      </c>
      <c r="G216" s="3">
        <f t="array" ref="G216">SUMPRODUCT(--(TRIM($E$2:$E$421)=TRIM(E216)))</f>
        <v>6</v>
      </c>
      <c r="H216" s="3" t="s">
        <v>49</v>
      </c>
      <c r="I216" s="3" t="s">
        <v>50</v>
      </c>
      <c r="J216" s="5"/>
      <c r="K216" s="3"/>
      <c r="L216" s="3"/>
      <c r="M216" s="3"/>
      <c r="N216" s="3"/>
      <c r="O216" s="3"/>
      <c r="P216" s="3"/>
      <c r="Q216" s="3"/>
      <c r="R216" s="3"/>
      <c r="S216" s="3"/>
      <c r="T216" s="3"/>
      <c r="U216" s="3"/>
      <c r="V216" s="3"/>
      <c r="W216" s="3"/>
      <c r="X216" s="3"/>
      <c r="Y216" s="3"/>
      <c r="Z216" s="3"/>
    </row>
    <row r="217" ht="27.0" customHeight="1">
      <c r="A217" s="3" t="s">
        <v>9</v>
      </c>
      <c r="B217" s="4" t="s">
        <v>469</v>
      </c>
      <c r="C217" s="1">
        <v>6.0</v>
      </c>
      <c r="D217" s="3" t="s">
        <v>481</v>
      </c>
      <c r="E217" s="3" t="s">
        <v>482</v>
      </c>
      <c r="F217" s="5" t="s">
        <v>483</v>
      </c>
      <c r="G217" s="3">
        <f t="array" ref="G217">SUMPRODUCT(--(TRIM($E$2:$E$421)=TRIM(E217)))</f>
        <v>1</v>
      </c>
      <c r="H217" s="3" t="s">
        <v>484</v>
      </c>
      <c r="I217" s="3" t="s">
        <v>171</v>
      </c>
      <c r="J217" s="3"/>
      <c r="K217" s="3"/>
      <c r="L217" s="3"/>
      <c r="M217" s="3"/>
      <c r="N217" s="3"/>
      <c r="O217" s="3"/>
      <c r="P217" s="3"/>
      <c r="Q217" s="3"/>
      <c r="R217" s="3"/>
      <c r="S217" s="3"/>
      <c r="T217" s="3"/>
      <c r="U217" s="3"/>
      <c r="V217" s="3"/>
      <c r="W217" s="3"/>
      <c r="X217" s="3"/>
      <c r="Y217" s="3"/>
      <c r="Z217" s="3"/>
    </row>
    <row r="218" ht="27.0" customHeight="1">
      <c r="A218" s="3" t="s">
        <v>9</v>
      </c>
      <c r="B218" s="4" t="s">
        <v>469</v>
      </c>
      <c r="C218" s="1">
        <v>7.0</v>
      </c>
      <c r="D218" s="3" t="s">
        <v>32</v>
      </c>
      <c r="E218" s="3" t="s">
        <v>485</v>
      </c>
      <c r="F218" s="5" t="s">
        <v>486</v>
      </c>
      <c r="G218" s="3">
        <f t="array" ref="G218">SUMPRODUCT(--(TRIM($E$2:$E$421)=TRIM(E218)))</f>
        <v>1</v>
      </c>
      <c r="H218" s="3" t="s">
        <v>49</v>
      </c>
      <c r="I218" s="3" t="s">
        <v>50</v>
      </c>
      <c r="J218" s="3"/>
      <c r="K218" s="3"/>
      <c r="L218" s="3"/>
      <c r="M218" s="3"/>
      <c r="N218" s="3"/>
      <c r="O218" s="3"/>
      <c r="P218" s="3"/>
      <c r="Q218" s="3"/>
      <c r="R218" s="3"/>
      <c r="S218" s="3"/>
      <c r="T218" s="3"/>
      <c r="U218" s="3"/>
      <c r="V218" s="3"/>
      <c r="W218" s="3"/>
      <c r="X218" s="3"/>
      <c r="Y218" s="3"/>
      <c r="Z218" s="3"/>
    </row>
    <row r="219" ht="27.0" customHeight="1">
      <c r="A219" s="3" t="s">
        <v>9</v>
      </c>
      <c r="B219" s="4" t="s">
        <v>469</v>
      </c>
      <c r="C219" s="1">
        <v>8.0</v>
      </c>
      <c r="D219" s="3" t="s">
        <v>487</v>
      </c>
      <c r="E219" s="3" t="s">
        <v>488</v>
      </c>
      <c r="F219" s="5" t="s">
        <v>489</v>
      </c>
      <c r="G219" s="3">
        <f t="array" ref="G219">SUMPRODUCT(--(TRIM($E$2:$E$421)=TRIM(E219)))</f>
        <v>1</v>
      </c>
      <c r="H219" s="3" t="s">
        <v>145</v>
      </c>
      <c r="I219" s="3" t="s">
        <v>146</v>
      </c>
      <c r="J219" s="3"/>
      <c r="K219" s="3"/>
      <c r="L219" s="3"/>
      <c r="M219" s="3"/>
      <c r="N219" s="3"/>
      <c r="O219" s="3"/>
      <c r="P219" s="3"/>
      <c r="Q219" s="3"/>
      <c r="R219" s="3"/>
      <c r="S219" s="3"/>
      <c r="T219" s="3"/>
      <c r="U219" s="3"/>
      <c r="V219" s="3"/>
      <c r="W219" s="3"/>
      <c r="X219" s="3"/>
      <c r="Y219" s="3"/>
      <c r="Z219" s="3"/>
    </row>
    <row r="220" ht="27.0" customHeight="1">
      <c r="A220" s="3" t="s">
        <v>9</v>
      </c>
      <c r="B220" s="4" t="s">
        <v>469</v>
      </c>
      <c r="C220" s="1">
        <v>9.0</v>
      </c>
      <c r="D220" s="3" t="s">
        <v>32</v>
      </c>
      <c r="E220" s="3" t="s">
        <v>490</v>
      </c>
      <c r="F220" s="5" t="s">
        <v>491</v>
      </c>
      <c r="G220" s="3">
        <f t="array" ref="G220">SUMPRODUCT(--(TRIM($E$2:$E$421)=TRIM(E220)))</f>
        <v>1</v>
      </c>
      <c r="H220" s="3" t="s">
        <v>170</v>
      </c>
      <c r="I220" s="3" t="s">
        <v>171</v>
      </c>
      <c r="J220" s="3"/>
      <c r="K220" s="3"/>
      <c r="L220" s="3"/>
      <c r="M220" s="3"/>
      <c r="N220" s="3"/>
      <c r="O220" s="3"/>
      <c r="P220" s="3"/>
      <c r="Q220" s="3"/>
      <c r="R220" s="3"/>
      <c r="S220" s="3"/>
      <c r="T220" s="3"/>
      <c r="U220" s="3"/>
      <c r="V220" s="3"/>
      <c r="W220" s="3"/>
      <c r="X220" s="3"/>
      <c r="Y220" s="3"/>
      <c r="Z220" s="3"/>
    </row>
    <row r="221" ht="27.0" customHeight="1">
      <c r="A221" s="3" t="s">
        <v>9</v>
      </c>
      <c r="B221" s="4" t="s">
        <v>469</v>
      </c>
      <c r="C221" s="1">
        <v>10.0</v>
      </c>
      <c r="D221" s="3" t="s">
        <v>492</v>
      </c>
      <c r="E221" s="3" t="s">
        <v>493</v>
      </c>
      <c r="F221" s="5" t="s">
        <v>494</v>
      </c>
      <c r="G221" s="3">
        <f t="array" ref="G221">SUMPRODUCT(--(TRIM($E$2:$E$421)=TRIM(E221)))</f>
        <v>1</v>
      </c>
      <c r="H221" s="3" t="s">
        <v>14</v>
      </c>
      <c r="I221" s="3" t="s">
        <v>15</v>
      </c>
      <c r="J221" s="3"/>
      <c r="K221" s="3"/>
      <c r="L221" s="3"/>
      <c r="M221" s="3"/>
      <c r="N221" s="3"/>
      <c r="O221" s="3"/>
      <c r="P221" s="3"/>
      <c r="Q221" s="3"/>
      <c r="R221" s="3"/>
      <c r="S221" s="3"/>
      <c r="T221" s="3"/>
      <c r="U221" s="3"/>
      <c r="V221" s="3"/>
      <c r="W221" s="3"/>
      <c r="X221" s="3"/>
      <c r="Y221" s="3"/>
      <c r="Z221" s="3"/>
    </row>
    <row r="222" ht="27.0" customHeight="1">
      <c r="A222" s="3" t="s">
        <v>9</v>
      </c>
      <c r="B222" s="4" t="s">
        <v>469</v>
      </c>
      <c r="C222" s="1">
        <v>11.0</v>
      </c>
      <c r="D222" s="3" t="s">
        <v>32</v>
      </c>
      <c r="E222" s="3" t="s">
        <v>495</v>
      </c>
      <c r="F222" s="5" t="s">
        <v>496</v>
      </c>
      <c r="G222" s="3">
        <f t="array" ref="G222">SUMPRODUCT(--(TRIM($E$2:$E$421)=TRIM(E222)))</f>
        <v>1</v>
      </c>
      <c r="H222" s="3" t="s">
        <v>276</v>
      </c>
      <c r="I222" s="3" t="s">
        <v>277</v>
      </c>
      <c r="J222" s="3"/>
      <c r="K222" s="3"/>
      <c r="L222" s="3"/>
      <c r="M222" s="3"/>
      <c r="N222" s="3"/>
      <c r="O222" s="3"/>
      <c r="P222" s="3"/>
      <c r="Q222" s="3"/>
      <c r="R222" s="3"/>
      <c r="S222" s="3"/>
      <c r="T222" s="3"/>
      <c r="U222" s="3"/>
      <c r="V222" s="3"/>
      <c r="W222" s="3"/>
      <c r="X222" s="3"/>
      <c r="Y222" s="3"/>
      <c r="Z222" s="3"/>
    </row>
    <row r="223" ht="27.0" customHeight="1">
      <c r="A223" s="3" t="s">
        <v>9</v>
      </c>
      <c r="B223" s="4" t="s">
        <v>469</v>
      </c>
      <c r="C223" s="1">
        <v>12.0</v>
      </c>
      <c r="D223" s="3" t="s">
        <v>497</v>
      </c>
      <c r="E223" s="3" t="s">
        <v>498</v>
      </c>
      <c r="F223" s="5" t="s">
        <v>499</v>
      </c>
      <c r="G223" s="3">
        <f t="array" ref="G223">SUMPRODUCT(--(TRIM($E$2:$E$421)=TRIM(E223)))</f>
        <v>1</v>
      </c>
      <c r="H223" s="3" t="s">
        <v>205</v>
      </c>
      <c r="I223" s="3" t="s">
        <v>206</v>
      </c>
      <c r="J223" s="3"/>
      <c r="K223" s="3"/>
      <c r="L223" s="3"/>
      <c r="M223" s="3"/>
      <c r="N223" s="3"/>
      <c r="O223" s="3"/>
      <c r="P223" s="3"/>
      <c r="Q223" s="3"/>
      <c r="R223" s="3"/>
      <c r="S223" s="3"/>
      <c r="T223" s="3"/>
      <c r="U223" s="3"/>
      <c r="V223" s="3"/>
      <c r="W223" s="3"/>
      <c r="X223" s="3"/>
      <c r="Y223" s="3"/>
      <c r="Z223" s="3"/>
    </row>
    <row r="224" ht="27.0" customHeight="1">
      <c r="A224" s="3" t="s">
        <v>9</v>
      </c>
      <c r="B224" s="4" t="s">
        <v>469</v>
      </c>
      <c r="C224" s="1">
        <v>13.0</v>
      </c>
      <c r="D224" s="3" t="s">
        <v>500</v>
      </c>
      <c r="E224" s="3" t="s">
        <v>501</v>
      </c>
      <c r="F224" s="5" t="s">
        <v>502</v>
      </c>
      <c r="G224" s="3">
        <f t="array" ref="G224">SUMPRODUCT(--(TRIM($E$2:$E$421)=TRIM(E224)))</f>
        <v>1</v>
      </c>
      <c r="H224" s="3" t="s">
        <v>14</v>
      </c>
      <c r="I224" s="3" t="s">
        <v>180</v>
      </c>
      <c r="J224" s="3"/>
      <c r="K224" s="3"/>
      <c r="L224" s="3"/>
      <c r="M224" s="3"/>
      <c r="N224" s="3"/>
      <c r="O224" s="3"/>
      <c r="P224" s="3"/>
      <c r="Q224" s="3"/>
      <c r="R224" s="3"/>
      <c r="S224" s="3"/>
      <c r="T224" s="3"/>
      <c r="U224" s="3"/>
      <c r="V224" s="3"/>
      <c r="W224" s="3"/>
      <c r="X224" s="3"/>
      <c r="Y224" s="3"/>
      <c r="Z224" s="3"/>
    </row>
    <row r="225" ht="27.0" customHeight="1">
      <c r="A225" s="3" t="s">
        <v>9</v>
      </c>
      <c r="B225" s="4" t="s">
        <v>469</v>
      </c>
      <c r="C225" s="1">
        <v>14.0</v>
      </c>
      <c r="D225" s="3" t="s">
        <v>503</v>
      </c>
      <c r="E225" s="3" t="s">
        <v>504</v>
      </c>
      <c r="F225" s="5" t="s">
        <v>505</v>
      </c>
      <c r="G225" s="3">
        <f t="array" ref="G225">SUMPRODUCT(--(TRIM($E$2:$E$421)=TRIM(E225)))</f>
        <v>1</v>
      </c>
      <c r="H225" s="3" t="s">
        <v>44</v>
      </c>
      <c r="I225" s="3" t="s">
        <v>45</v>
      </c>
      <c r="J225" s="3"/>
      <c r="K225" s="3"/>
      <c r="L225" s="3"/>
      <c r="M225" s="3"/>
      <c r="N225" s="3"/>
      <c r="O225" s="3"/>
      <c r="P225" s="3"/>
      <c r="Q225" s="3"/>
      <c r="R225" s="3"/>
      <c r="S225" s="3"/>
      <c r="T225" s="3"/>
      <c r="U225" s="3"/>
      <c r="V225" s="3"/>
      <c r="W225" s="3"/>
      <c r="X225" s="3"/>
      <c r="Y225" s="3"/>
      <c r="Z225" s="3"/>
    </row>
    <row r="226" ht="27.0" customHeight="1">
      <c r="A226" s="3" t="s">
        <v>9</v>
      </c>
      <c r="B226" s="4" t="s">
        <v>469</v>
      </c>
      <c r="C226" s="1">
        <v>15.0</v>
      </c>
      <c r="D226" s="3" t="s">
        <v>32</v>
      </c>
      <c r="E226" s="3" t="s">
        <v>506</v>
      </c>
      <c r="F226" s="5" t="s">
        <v>507</v>
      </c>
      <c r="G226" s="3">
        <f t="array" ref="G226">SUMPRODUCT(--(TRIM($E$2:$E$421)=TRIM(E226)))</f>
        <v>1</v>
      </c>
      <c r="H226" s="3" t="s">
        <v>87</v>
      </c>
      <c r="I226" s="3" t="s">
        <v>88</v>
      </c>
      <c r="J226" s="3"/>
      <c r="K226" s="3"/>
      <c r="L226" s="3"/>
      <c r="M226" s="3"/>
      <c r="N226" s="3"/>
      <c r="O226" s="3"/>
      <c r="P226" s="3"/>
      <c r="Q226" s="3"/>
      <c r="R226" s="3"/>
      <c r="S226" s="3"/>
      <c r="T226" s="3"/>
      <c r="U226" s="3"/>
      <c r="V226" s="3"/>
      <c r="W226" s="3"/>
      <c r="X226" s="3"/>
      <c r="Y226" s="3"/>
      <c r="Z226" s="3"/>
    </row>
    <row r="227" ht="27.0" customHeight="1">
      <c r="A227" s="3" t="s">
        <v>9</v>
      </c>
      <c r="B227" s="4" t="s">
        <v>469</v>
      </c>
      <c r="C227" s="1">
        <v>16.0</v>
      </c>
      <c r="D227" s="3" t="s">
        <v>508</v>
      </c>
      <c r="E227" s="3" t="s">
        <v>509</v>
      </c>
      <c r="F227" s="5" t="s">
        <v>510</v>
      </c>
      <c r="G227" s="3">
        <f t="array" ref="G227">SUMPRODUCT(--(TRIM($E$2:$E$421)=TRIM(E227)))</f>
        <v>1</v>
      </c>
      <c r="H227" s="3" t="s">
        <v>49</v>
      </c>
      <c r="I227" s="3" t="s">
        <v>50</v>
      </c>
      <c r="J227" s="3"/>
      <c r="K227" s="3"/>
      <c r="L227" s="3"/>
      <c r="M227" s="3"/>
      <c r="N227" s="3"/>
      <c r="O227" s="3"/>
      <c r="P227" s="3"/>
      <c r="Q227" s="3"/>
      <c r="R227" s="3"/>
      <c r="S227" s="3"/>
      <c r="T227" s="3"/>
      <c r="U227" s="3"/>
      <c r="V227" s="3"/>
      <c r="W227" s="3"/>
      <c r="X227" s="3"/>
      <c r="Y227" s="3"/>
      <c r="Z227" s="3"/>
    </row>
    <row r="228" ht="27.0" customHeight="1">
      <c r="A228" s="3" t="s">
        <v>9</v>
      </c>
      <c r="B228" s="4" t="s">
        <v>469</v>
      </c>
      <c r="C228" s="1">
        <v>17.0</v>
      </c>
      <c r="D228" s="3" t="s">
        <v>511</v>
      </c>
      <c r="E228" s="3" t="s">
        <v>512</v>
      </c>
      <c r="F228" s="5" t="s">
        <v>513</v>
      </c>
      <c r="G228" s="3">
        <f t="array" ref="G228">SUMPRODUCT(--(TRIM($E$2:$E$421)=TRIM(E228)))</f>
        <v>1</v>
      </c>
      <c r="H228" s="3" t="s">
        <v>39</v>
      </c>
      <c r="I228" s="3" t="s">
        <v>40</v>
      </c>
      <c r="J228" s="3"/>
      <c r="K228" s="3"/>
      <c r="L228" s="3"/>
      <c r="M228" s="3"/>
      <c r="N228" s="3"/>
      <c r="O228" s="3"/>
      <c r="P228" s="3"/>
      <c r="Q228" s="3"/>
      <c r="R228" s="3"/>
      <c r="S228" s="3"/>
      <c r="T228" s="3"/>
      <c r="U228" s="3"/>
      <c r="V228" s="3"/>
      <c r="W228" s="3"/>
      <c r="X228" s="3"/>
      <c r="Y228" s="3"/>
      <c r="Z228" s="3"/>
    </row>
    <row r="229" ht="27.0" customHeight="1">
      <c r="A229" s="3" t="s">
        <v>9</v>
      </c>
      <c r="B229" s="4" t="s">
        <v>469</v>
      </c>
      <c r="C229" s="1">
        <v>18.0</v>
      </c>
      <c r="D229" s="3" t="s">
        <v>32</v>
      </c>
      <c r="E229" s="3" t="s">
        <v>514</v>
      </c>
      <c r="F229" s="5" t="s">
        <v>515</v>
      </c>
      <c r="G229" s="3">
        <f t="array" ref="G229">SUMPRODUCT(--(TRIM($E$2:$E$421)=TRIM(E229)))</f>
        <v>1</v>
      </c>
      <c r="H229" s="3" t="s">
        <v>27</v>
      </c>
      <c r="I229" s="3" t="s">
        <v>222</v>
      </c>
      <c r="J229" s="3"/>
      <c r="K229" s="3"/>
      <c r="L229" s="3"/>
      <c r="M229" s="3"/>
      <c r="N229" s="3"/>
      <c r="O229" s="3"/>
      <c r="P229" s="3"/>
      <c r="Q229" s="3"/>
      <c r="R229" s="3"/>
      <c r="S229" s="3"/>
      <c r="T229" s="3"/>
      <c r="U229" s="3"/>
      <c r="V229" s="3"/>
      <c r="W229" s="3"/>
      <c r="X229" s="3"/>
      <c r="Y229" s="3"/>
      <c r="Z229" s="3"/>
    </row>
    <row r="230" ht="27.0" customHeight="1">
      <c r="A230" s="3" t="s">
        <v>9</v>
      </c>
      <c r="B230" s="4" t="s">
        <v>469</v>
      </c>
      <c r="C230" s="1">
        <v>19.0</v>
      </c>
      <c r="D230" s="3" t="s">
        <v>516</v>
      </c>
      <c r="E230" s="3" t="s">
        <v>517</v>
      </c>
      <c r="F230" s="5" t="s">
        <v>518</v>
      </c>
      <c r="G230" s="3">
        <f t="array" ref="G230">SUMPRODUCT(--(TRIM($E$2:$E$421)=TRIM(E230)))</f>
        <v>1</v>
      </c>
      <c r="H230" s="3" t="s">
        <v>205</v>
      </c>
      <c r="I230" s="3" t="s">
        <v>206</v>
      </c>
      <c r="J230" s="3"/>
      <c r="K230" s="3"/>
      <c r="L230" s="3"/>
      <c r="M230" s="3"/>
      <c r="N230" s="3"/>
      <c r="O230" s="3"/>
      <c r="P230" s="3"/>
      <c r="Q230" s="3"/>
      <c r="R230" s="3"/>
      <c r="S230" s="3"/>
      <c r="T230" s="3"/>
      <c r="U230" s="3"/>
      <c r="V230" s="3"/>
      <c r="W230" s="3"/>
      <c r="X230" s="3"/>
      <c r="Y230" s="3"/>
      <c r="Z230" s="3"/>
    </row>
    <row r="231" ht="27.0" customHeight="1">
      <c r="A231" s="3" t="s">
        <v>9</v>
      </c>
      <c r="B231" s="4" t="s">
        <v>469</v>
      </c>
      <c r="C231" s="1">
        <v>20.0</v>
      </c>
      <c r="D231" s="3" t="s">
        <v>519</v>
      </c>
      <c r="E231" s="3" t="s">
        <v>520</v>
      </c>
      <c r="F231" s="5" t="s">
        <v>521</v>
      </c>
      <c r="G231" s="3">
        <f t="array" ref="G231">SUMPRODUCT(--(TRIM($E$2:$E$421)=TRIM(E231)))</f>
        <v>2</v>
      </c>
      <c r="H231" s="3" t="s">
        <v>14</v>
      </c>
      <c r="I231" s="3" t="s">
        <v>180</v>
      </c>
      <c r="J231" s="3"/>
      <c r="K231" s="3"/>
      <c r="L231" s="3"/>
      <c r="M231" s="3"/>
      <c r="N231" s="3"/>
      <c r="O231" s="3"/>
      <c r="P231" s="3"/>
      <c r="Q231" s="3"/>
      <c r="R231" s="3"/>
      <c r="S231" s="3"/>
      <c r="T231" s="3"/>
      <c r="U231" s="3"/>
      <c r="V231" s="3"/>
      <c r="W231" s="3"/>
      <c r="X231" s="3"/>
      <c r="Y231" s="3"/>
      <c r="Z231" s="3"/>
    </row>
    <row r="232" ht="27.0" customHeight="1">
      <c r="A232" s="3" t="s">
        <v>9</v>
      </c>
      <c r="B232" s="4" t="s">
        <v>469</v>
      </c>
      <c r="C232" s="1">
        <v>21.0</v>
      </c>
      <c r="D232" s="3" t="s">
        <v>239</v>
      </c>
      <c r="E232" s="3" t="s">
        <v>240</v>
      </c>
      <c r="F232" s="5" t="s">
        <v>241</v>
      </c>
      <c r="G232" s="3">
        <f t="array" ref="G232">SUMPRODUCT(--(TRIM($E$2:$E$421)=TRIM(E232)))</f>
        <v>2</v>
      </c>
      <c r="H232" s="3" t="s">
        <v>27</v>
      </c>
      <c r="I232" s="3" t="s">
        <v>222</v>
      </c>
      <c r="J232" s="3"/>
      <c r="K232" s="3"/>
      <c r="L232" s="3"/>
      <c r="M232" s="3"/>
      <c r="N232" s="3"/>
      <c r="O232" s="3"/>
      <c r="P232" s="3"/>
      <c r="Q232" s="3"/>
      <c r="R232" s="3"/>
      <c r="S232" s="3"/>
      <c r="T232" s="3"/>
      <c r="U232" s="3"/>
      <c r="V232" s="3"/>
      <c r="W232" s="3"/>
      <c r="X232" s="3"/>
      <c r="Y232" s="3"/>
      <c r="Z232" s="3"/>
    </row>
    <row r="233" ht="27.0" customHeight="1">
      <c r="A233" s="3" t="s">
        <v>9</v>
      </c>
      <c r="B233" s="4" t="s">
        <v>469</v>
      </c>
      <c r="C233" s="1">
        <v>22.0</v>
      </c>
      <c r="D233" s="3" t="s">
        <v>522</v>
      </c>
      <c r="E233" s="5" t="s">
        <v>158</v>
      </c>
      <c r="F233" s="5" t="s">
        <v>159</v>
      </c>
      <c r="G233" s="3">
        <f t="array" ref="G233">SUMPRODUCT(--(TRIM($E$2:$E$421)=TRIM(E233)))</f>
        <v>5</v>
      </c>
      <c r="H233" s="3" t="s">
        <v>54</v>
      </c>
      <c r="I233" s="3" t="s">
        <v>55</v>
      </c>
      <c r="J233" s="5"/>
      <c r="K233" s="3"/>
      <c r="L233" s="3"/>
      <c r="M233" s="3"/>
      <c r="N233" s="3"/>
      <c r="O233" s="3"/>
      <c r="P233" s="3"/>
      <c r="Q233" s="3"/>
      <c r="R233" s="3"/>
      <c r="S233" s="3"/>
      <c r="T233" s="3"/>
      <c r="U233" s="3"/>
      <c r="V233" s="3"/>
      <c r="W233" s="3"/>
      <c r="X233" s="3"/>
      <c r="Y233" s="3"/>
      <c r="Z233" s="3"/>
    </row>
    <row r="234" ht="27.0" customHeight="1">
      <c r="A234" s="3" t="s">
        <v>9</v>
      </c>
      <c r="B234" s="4" t="s">
        <v>469</v>
      </c>
      <c r="C234" s="1">
        <v>23.0</v>
      </c>
      <c r="D234" s="3" t="s">
        <v>523</v>
      </c>
      <c r="E234" s="3" t="s">
        <v>524</v>
      </c>
      <c r="F234" s="5" t="s">
        <v>525</v>
      </c>
      <c r="G234" s="3">
        <f t="array" ref="G234">SUMPRODUCT(--(TRIM($E$2:$E$421)=TRIM(E234)))</f>
        <v>1</v>
      </c>
      <c r="H234" s="3" t="s">
        <v>44</v>
      </c>
      <c r="I234" s="3" t="s">
        <v>45</v>
      </c>
      <c r="J234" s="3"/>
      <c r="K234" s="3"/>
      <c r="L234" s="3"/>
      <c r="M234" s="3"/>
      <c r="N234" s="3"/>
      <c r="O234" s="3"/>
      <c r="P234" s="3"/>
      <c r="Q234" s="3"/>
      <c r="R234" s="3"/>
      <c r="S234" s="3"/>
      <c r="T234" s="3"/>
      <c r="U234" s="3"/>
      <c r="V234" s="3"/>
      <c r="W234" s="3"/>
      <c r="X234" s="3"/>
      <c r="Y234" s="3"/>
      <c r="Z234" s="3"/>
    </row>
    <row r="235" ht="27.0" customHeight="1">
      <c r="A235" s="3" t="s">
        <v>9</v>
      </c>
      <c r="B235" s="4" t="s">
        <v>469</v>
      </c>
      <c r="C235" s="1">
        <v>24.0</v>
      </c>
      <c r="D235" s="3" t="s">
        <v>32</v>
      </c>
      <c r="E235" s="3" t="s">
        <v>526</v>
      </c>
      <c r="F235" s="5" t="s">
        <v>527</v>
      </c>
      <c r="G235" s="3">
        <f t="array" ref="G235">SUMPRODUCT(--(TRIM($E$2:$E$421)=TRIM(E235)))</f>
        <v>1</v>
      </c>
      <c r="H235" s="3" t="s">
        <v>150</v>
      </c>
      <c r="I235" s="3" t="s">
        <v>352</v>
      </c>
      <c r="J235" s="3"/>
      <c r="K235" s="3"/>
      <c r="L235" s="3"/>
      <c r="M235" s="3"/>
      <c r="N235" s="3"/>
      <c r="O235" s="3"/>
      <c r="P235" s="3"/>
      <c r="Q235" s="3"/>
      <c r="R235" s="3"/>
      <c r="S235" s="3"/>
      <c r="T235" s="3"/>
      <c r="U235" s="3"/>
      <c r="V235" s="3"/>
      <c r="W235" s="3"/>
      <c r="X235" s="3"/>
      <c r="Y235" s="3"/>
      <c r="Z235" s="3"/>
    </row>
    <row r="236" ht="27.0" customHeight="1">
      <c r="A236" s="3" t="s">
        <v>9</v>
      </c>
      <c r="B236" s="4" t="s">
        <v>469</v>
      </c>
      <c r="C236" s="1">
        <v>25.0</v>
      </c>
      <c r="D236" s="3" t="s">
        <v>32</v>
      </c>
      <c r="E236" s="3" t="s">
        <v>528</v>
      </c>
      <c r="F236" s="5" t="s">
        <v>529</v>
      </c>
      <c r="G236" s="3">
        <f t="array" ref="G236">SUMPRODUCT(--(TRIM($E$2:$E$421)=TRIM(E236)))</f>
        <v>1</v>
      </c>
      <c r="H236" s="3" t="s">
        <v>199</v>
      </c>
      <c r="I236" s="3" t="s">
        <v>264</v>
      </c>
      <c r="J236" s="3"/>
      <c r="K236" s="3"/>
      <c r="L236" s="3"/>
      <c r="M236" s="3"/>
      <c r="N236" s="3"/>
      <c r="O236" s="3"/>
      <c r="P236" s="3"/>
      <c r="Q236" s="3"/>
      <c r="R236" s="3"/>
      <c r="S236" s="3"/>
      <c r="T236" s="3"/>
      <c r="U236" s="3"/>
      <c r="V236" s="3"/>
      <c r="W236" s="3"/>
      <c r="X236" s="3"/>
      <c r="Y236" s="3"/>
      <c r="Z236" s="3"/>
    </row>
    <row r="237" ht="27.0" customHeight="1">
      <c r="A237" s="3" t="s">
        <v>9</v>
      </c>
      <c r="B237" s="4" t="s">
        <v>469</v>
      </c>
      <c r="C237" s="1">
        <v>26.0</v>
      </c>
      <c r="D237" s="3" t="s">
        <v>530</v>
      </c>
      <c r="E237" s="3" t="s">
        <v>531</v>
      </c>
      <c r="F237" s="5" t="s">
        <v>532</v>
      </c>
      <c r="G237" s="3">
        <f t="array" ref="G237">SUMPRODUCT(--(TRIM($E$2:$E$421)=TRIM(E237)))</f>
        <v>1</v>
      </c>
      <c r="H237" s="3" t="s">
        <v>27</v>
      </c>
      <c r="I237" s="3" t="s">
        <v>222</v>
      </c>
      <c r="J237" s="3"/>
      <c r="K237" s="3"/>
      <c r="L237" s="3"/>
      <c r="M237" s="3"/>
      <c r="N237" s="3"/>
      <c r="O237" s="3"/>
      <c r="P237" s="3"/>
      <c r="Q237" s="3"/>
      <c r="R237" s="3"/>
      <c r="S237" s="3"/>
      <c r="T237" s="3"/>
      <c r="U237" s="3"/>
      <c r="V237" s="3"/>
      <c r="W237" s="3"/>
      <c r="X237" s="3"/>
      <c r="Y237" s="3"/>
      <c r="Z237" s="3"/>
    </row>
    <row r="238" ht="27.0" customHeight="1">
      <c r="A238" s="3" t="s">
        <v>9</v>
      </c>
      <c r="B238" s="4" t="s">
        <v>469</v>
      </c>
      <c r="C238" s="1">
        <v>27.0</v>
      </c>
      <c r="D238" s="3" t="s">
        <v>533</v>
      </c>
      <c r="E238" s="3" t="s">
        <v>534</v>
      </c>
      <c r="F238" s="5" t="s">
        <v>535</v>
      </c>
      <c r="G238" s="3">
        <f t="array" ref="G238">SUMPRODUCT(--(TRIM($E$2:$E$421)=TRIM(E238)))</f>
        <v>2</v>
      </c>
      <c r="H238" s="3" t="s">
        <v>35</v>
      </c>
      <c r="I238" s="3" t="s">
        <v>36</v>
      </c>
      <c r="J238" s="3"/>
      <c r="K238" s="3"/>
      <c r="L238" s="3"/>
      <c r="M238" s="3"/>
      <c r="N238" s="3"/>
      <c r="O238" s="3"/>
      <c r="P238" s="3"/>
      <c r="Q238" s="3"/>
      <c r="R238" s="3"/>
      <c r="S238" s="3"/>
      <c r="T238" s="3"/>
      <c r="U238" s="3"/>
      <c r="V238" s="3"/>
      <c r="W238" s="3"/>
      <c r="X238" s="3"/>
      <c r="Y238" s="3"/>
      <c r="Z238" s="3"/>
    </row>
    <row r="239" ht="27.0" customHeight="1">
      <c r="A239" s="3" t="s">
        <v>9</v>
      </c>
      <c r="B239" s="4" t="s">
        <v>469</v>
      </c>
      <c r="C239" s="1">
        <v>28.0</v>
      </c>
      <c r="D239" s="3" t="s">
        <v>536</v>
      </c>
      <c r="E239" s="3" t="s">
        <v>537</v>
      </c>
      <c r="F239" s="5" t="s">
        <v>538</v>
      </c>
      <c r="G239" s="3">
        <f t="array" ref="G239">SUMPRODUCT(--(TRIM($E$2:$E$421)=TRIM(E239)))</f>
        <v>1</v>
      </c>
      <c r="H239" s="3" t="s">
        <v>35</v>
      </c>
      <c r="I239" s="3" t="s">
        <v>36</v>
      </c>
      <c r="J239" s="3"/>
      <c r="K239" s="3"/>
      <c r="L239" s="3"/>
      <c r="M239" s="3"/>
      <c r="N239" s="3"/>
      <c r="O239" s="3"/>
      <c r="P239" s="3"/>
      <c r="Q239" s="3"/>
      <c r="R239" s="3"/>
      <c r="S239" s="3"/>
      <c r="T239" s="3"/>
      <c r="U239" s="3"/>
      <c r="V239" s="3"/>
      <c r="W239" s="3"/>
      <c r="X239" s="3"/>
      <c r="Y239" s="3"/>
      <c r="Z239" s="3"/>
    </row>
    <row r="240" ht="27.0" customHeight="1">
      <c r="A240" s="3" t="s">
        <v>9</v>
      </c>
      <c r="B240" s="4" t="s">
        <v>469</v>
      </c>
      <c r="C240" s="1">
        <v>29.0</v>
      </c>
      <c r="D240" s="3" t="s">
        <v>32</v>
      </c>
      <c r="E240" s="3" t="s">
        <v>539</v>
      </c>
      <c r="F240" s="5" t="s">
        <v>540</v>
      </c>
      <c r="G240" s="3">
        <f t="array" ref="G240">SUMPRODUCT(--(TRIM($E$2:$E$421)=TRIM(E240)))</f>
        <v>1</v>
      </c>
      <c r="H240" s="3" t="s">
        <v>285</v>
      </c>
      <c r="I240" s="3" t="s">
        <v>264</v>
      </c>
      <c r="J240" s="3"/>
      <c r="K240" s="3"/>
      <c r="L240" s="3"/>
      <c r="M240" s="3"/>
      <c r="N240" s="3"/>
      <c r="O240" s="3"/>
      <c r="P240" s="3"/>
      <c r="Q240" s="3"/>
      <c r="R240" s="3"/>
      <c r="S240" s="3"/>
      <c r="T240" s="3"/>
      <c r="U240" s="3"/>
      <c r="V240" s="3"/>
      <c r="W240" s="3"/>
      <c r="X240" s="3"/>
      <c r="Y240" s="3"/>
      <c r="Z240" s="3"/>
    </row>
    <row r="241" ht="27.0" customHeight="1">
      <c r="A241" s="3" t="s">
        <v>9</v>
      </c>
      <c r="B241" s="4" t="s">
        <v>469</v>
      </c>
      <c r="C241" s="1">
        <v>30.0</v>
      </c>
      <c r="D241" s="3" t="s">
        <v>541</v>
      </c>
      <c r="E241" s="3" t="s">
        <v>542</v>
      </c>
      <c r="F241" s="5" t="s">
        <v>543</v>
      </c>
      <c r="G241" s="3">
        <f t="array" ref="G241">SUMPRODUCT(--(TRIM($E$2:$E$421)=TRIM(E241)))</f>
        <v>1</v>
      </c>
      <c r="H241" s="3" t="s">
        <v>14</v>
      </c>
      <c r="I241" s="3" t="s">
        <v>83</v>
      </c>
      <c r="J241" s="3"/>
      <c r="K241" s="3"/>
      <c r="L241" s="3"/>
      <c r="M241" s="3"/>
      <c r="N241" s="3"/>
      <c r="O241" s="3"/>
      <c r="P241" s="3"/>
      <c r="Q241" s="3"/>
      <c r="R241" s="3"/>
      <c r="S241" s="3"/>
      <c r="T241" s="3"/>
      <c r="U241" s="3"/>
      <c r="V241" s="3"/>
      <c r="W241" s="3"/>
      <c r="X241" s="3"/>
      <c r="Y241" s="3"/>
      <c r="Z241" s="3"/>
    </row>
    <row r="242" ht="27.0" customHeight="1">
      <c r="A242" s="3" t="s">
        <v>9</v>
      </c>
      <c r="B242" s="4" t="s">
        <v>469</v>
      </c>
      <c r="C242" s="1">
        <v>31.0</v>
      </c>
      <c r="D242" s="3" t="s">
        <v>544</v>
      </c>
      <c r="E242" s="3" t="s">
        <v>545</v>
      </c>
      <c r="F242" s="5" t="s">
        <v>546</v>
      </c>
      <c r="G242" s="3">
        <f t="array" ref="G242">SUMPRODUCT(--(TRIM($E$2:$E$421)=TRIM(E242)))</f>
        <v>1</v>
      </c>
      <c r="H242" s="3" t="s">
        <v>59</v>
      </c>
      <c r="I242" s="3" t="s">
        <v>60</v>
      </c>
      <c r="J242" s="3"/>
      <c r="K242" s="3"/>
      <c r="L242" s="3"/>
      <c r="M242" s="3"/>
      <c r="N242" s="3"/>
      <c r="O242" s="3"/>
      <c r="P242" s="3"/>
      <c r="Q242" s="3"/>
      <c r="R242" s="3"/>
      <c r="S242" s="3"/>
      <c r="T242" s="3"/>
      <c r="U242" s="3"/>
      <c r="V242" s="3"/>
      <c r="W242" s="3"/>
      <c r="X242" s="3"/>
      <c r="Y242" s="3"/>
      <c r="Z242" s="3"/>
    </row>
    <row r="243" ht="27.0" customHeight="1">
      <c r="A243" s="3" t="s">
        <v>9</v>
      </c>
      <c r="B243" s="4" t="s">
        <v>469</v>
      </c>
      <c r="C243" s="1">
        <v>32.0</v>
      </c>
      <c r="D243" s="3" t="s">
        <v>228</v>
      </c>
      <c r="E243" s="3" t="s">
        <v>229</v>
      </c>
      <c r="F243" s="3" t="s">
        <v>229</v>
      </c>
      <c r="G243" s="3">
        <f t="array" ref="G243">SUMPRODUCT(--(TRIM($E$2:$E$421)=TRIM(E243)))</f>
        <v>4</v>
      </c>
      <c r="H243" s="3" t="s">
        <v>170</v>
      </c>
      <c r="I243" s="3" t="s">
        <v>171</v>
      </c>
      <c r="J243" s="3"/>
      <c r="K243" s="3"/>
      <c r="L243" s="3"/>
      <c r="M243" s="3"/>
      <c r="N243" s="3"/>
      <c r="O243" s="3"/>
      <c r="P243" s="3"/>
      <c r="Q243" s="3"/>
      <c r="R243" s="3"/>
      <c r="S243" s="3"/>
      <c r="T243" s="3"/>
      <c r="U243" s="3"/>
      <c r="V243" s="3"/>
      <c r="W243" s="3"/>
      <c r="X243" s="3"/>
      <c r="Y243" s="3"/>
      <c r="Z243" s="3"/>
    </row>
    <row r="244" ht="27.0" customHeight="1">
      <c r="A244" s="3" t="s">
        <v>9</v>
      </c>
      <c r="B244" s="4" t="s">
        <v>469</v>
      </c>
      <c r="C244" s="1">
        <v>33.0</v>
      </c>
      <c r="D244" s="3" t="s">
        <v>32</v>
      </c>
      <c r="E244" s="3" t="s">
        <v>547</v>
      </c>
      <c r="F244" s="5" t="s">
        <v>548</v>
      </c>
      <c r="G244" s="3">
        <f t="array" ref="G244">SUMPRODUCT(--(TRIM($E$2:$E$421)=TRIM(E244)))</f>
        <v>1</v>
      </c>
      <c r="H244" s="3" t="s">
        <v>14</v>
      </c>
      <c r="I244" s="3" t="s">
        <v>15</v>
      </c>
      <c r="J244" s="3"/>
      <c r="K244" s="3"/>
      <c r="L244" s="3"/>
      <c r="M244" s="3"/>
      <c r="N244" s="3"/>
      <c r="O244" s="3"/>
      <c r="P244" s="3"/>
      <c r="Q244" s="3"/>
      <c r="R244" s="3"/>
      <c r="S244" s="3"/>
      <c r="T244" s="3"/>
      <c r="U244" s="3"/>
      <c r="V244" s="3"/>
      <c r="W244" s="3"/>
      <c r="X244" s="3"/>
      <c r="Y244" s="3"/>
      <c r="Z244" s="3"/>
    </row>
    <row r="245" ht="27.0" customHeight="1">
      <c r="A245" s="3" t="s">
        <v>9</v>
      </c>
      <c r="B245" s="4" t="s">
        <v>469</v>
      </c>
      <c r="C245" s="1">
        <v>34.0</v>
      </c>
      <c r="D245" s="3" t="s">
        <v>32</v>
      </c>
      <c r="E245" s="3" t="s">
        <v>286</v>
      </c>
      <c r="F245" s="5" t="s">
        <v>287</v>
      </c>
      <c r="G245" s="3">
        <f t="array" ref="G245">SUMPRODUCT(--(TRIM($E$2:$E$421)=TRIM(E245)))</f>
        <v>2</v>
      </c>
      <c r="H245" s="3" t="s">
        <v>141</v>
      </c>
      <c r="I245" s="3" t="s">
        <v>55</v>
      </c>
      <c r="J245" s="3"/>
      <c r="K245" s="3"/>
      <c r="L245" s="3"/>
      <c r="M245" s="3"/>
      <c r="N245" s="3"/>
      <c r="O245" s="3"/>
      <c r="P245" s="3"/>
      <c r="Q245" s="3"/>
      <c r="R245" s="3"/>
      <c r="S245" s="3"/>
      <c r="T245" s="3"/>
      <c r="U245" s="3"/>
      <c r="V245" s="3"/>
      <c r="W245" s="3"/>
      <c r="X245" s="3"/>
      <c r="Y245" s="3"/>
      <c r="Z245" s="3"/>
    </row>
    <row r="246" ht="27.0" customHeight="1">
      <c r="A246" s="3" t="s">
        <v>9</v>
      </c>
      <c r="B246" s="4" t="s">
        <v>469</v>
      </c>
      <c r="C246" s="1">
        <v>35.0</v>
      </c>
      <c r="D246" s="3" t="s">
        <v>32</v>
      </c>
      <c r="E246" s="5" t="s">
        <v>237</v>
      </c>
      <c r="F246" s="5" t="s">
        <v>238</v>
      </c>
      <c r="G246" s="3">
        <f t="array" ref="G246">SUMPRODUCT(--(TRIM($E$2:$E$421)=TRIM(E246)))</f>
        <v>2</v>
      </c>
      <c r="H246" s="3" t="s">
        <v>22</v>
      </c>
      <c r="I246" s="3" t="s">
        <v>80</v>
      </c>
      <c r="J246" s="5"/>
      <c r="K246" s="3"/>
      <c r="L246" s="3"/>
      <c r="M246" s="3"/>
      <c r="N246" s="3"/>
      <c r="O246" s="3"/>
      <c r="P246" s="3"/>
      <c r="Q246" s="3"/>
      <c r="R246" s="3"/>
      <c r="S246" s="3"/>
      <c r="T246" s="3"/>
      <c r="U246" s="3"/>
      <c r="V246" s="3"/>
      <c r="W246" s="3"/>
      <c r="X246" s="3"/>
      <c r="Y246" s="3"/>
      <c r="Z246" s="3"/>
    </row>
    <row r="247" ht="27.0" customHeight="1">
      <c r="A247" s="3" t="s">
        <v>9</v>
      </c>
      <c r="B247" s="4" t="s">
        <v>469</v>
      </c>
      <c r="C247" s="1">
        <v>36.0</v>
      </c>
      <c r="D247" s="3" t="s">
        <v>549</v>
      </c>
      <c r="E247" s="3" t="s">
        <v>550</v>
      </c>
      <c r="F247" s="5" t="s">
        <v>551</v>
      </c>
      <c r="G247" s="3">
        <f t="array" ref="G247">SUMPRODUCT(--(TRIM($E$2:$E$421)=TRIM(E247)))</f>
        <v>1</v>
      </c>
      <c r="H247" s="3" t="s">
        <v>14</v>
      </c>
      <c r="I247" s="3" t="s">
        <v>110</v>
      </c>
      <c r="J247" s="3"/>
      <c r="K247" s="3"/>
      <c r="L247" s="3"/>
      <c r="M247" s="3"/>
      <c r="N247" s="3"/>
      <c r="O247" s="3"/>
      <c r="P247" s="3"/>
      <c r="Q247" s="3"/>
      <c r="R247" s="3"/>
      <c r="S247" s="3"/>
      <c r="T247" s="3"/>
      <c r="U247" s="3"/>
      <c r="V247" s="3"/>
      <c r="W247" s="3"/>
      <c r="X247" s="3"/>
      <c r="Y247" s="3"/>
      <c r="Z247" s="3"/>
    </row>
    <row r="248" ht="27.0" customHeight="1">
      <c r="A248" s="3" t="s">
        <v>9</v>
      </c>
      <c r="B248" s="4" t="s">
        <v>469</v>
      </c>
      <c r="C248" s="1">
        <v>37.0</v>
      </c>
      <c r="D248" s="3" t="s">
        <v>32</v>
      </c>
      <c r="E248" s="3" t="s">
        <v>552</v>
      </c>
      <c r="F248" s="5" t="s">
        <v>553</v>
      </c>
      <c r="G248" s="3">
        <f t="array" ref="G248">SUMPRODUCT(--(TRIM($E$2:$E$421)=TRIM(E248)))</f>
        <v>1</v>
      </c>
      <c r="H248" s="3" t="s">
        <v>22</v>
      </c>
      <c r="I248" s="3" t="s">
        <v>80</v>
      </c>
      <c r="J248" s="3"/>
      <c r="K248" s="3"/>
      <c r="L248" s="3"/>
      <c r="M248" s="3"/>
      <c r="N248" s="3"/>
      <c r="O248" s="3"/>
      <c r="P248" s="3"/>
      <c r="Q248" s="3"/>
      <c r="R248" s="3"/>
      <c r="S248" s="3"/>
      <c r="T248" s="3"/>
      <c r="U248" s="3"/>
      <c r="V248" s="3"/>
      <c r="W248" s="3"/>
      <c r="X248" s="3"/>
      <c r="Y248" s="3"/>
      <c r="Z248" s="3"/>
    </row>
    <row r="249" ht="27.0" customHeight="1">
      <c r="A249" s="3" t="s">
        <v>9</v>
      </c>
      <c r="B249" s="4" t="s">
        <v>469</v>
      </c>
      <c r="C249" s="1">
        <v>38.0</v>
      </c>
      <c r="D249" s="3" t="s">
        <v>32</v>
      </c>
      <c r="E249" s="5" t="s">
        <v>75</v>
      </c>
      <c r="F249" s="5" t="s">
        <v>76</v>
      </c>
      <c r="G249" s="3">
        <f t="array" ref="G249">SUMPRODUCT(--(TRIM($E$2:$E$421)=TRIM(E249)))</f>
        <v>5</v>
      </c>
      <c r="H249" s="3" t="s">
        <v>39</v>
      </c>
      <c r="I249" s="3" t="s">
        <v>40</v>
      </c>
      <c r="J249" s="5"/>
      <c r="K249" s="3"/>
      <c r="L249" s="3"/>
      <c r="M249" s="3"/>
      <c r="N249" s="3"/>
      <c r="O249" s="3"/>
      <c r="P249" s="3"/>
      <c r="Q249" s="3"/>
      <c r="R249" s="3"/>
      <c r="S249" s="3"/>
      <c r="T249" s="3"/>
      <c r="U249" s="3"/>
      <c r="V249" s="3"/>
      <c r="W249" s="3"/>
      <c r="X249" s="3"/>
      <c r="Y249" s="3"/>
      <c r="Z249" s="3"/>
    </row>
    <row r="250" ht="27.0" customHeight="1">
      <c r="A250" s="3" t="s">
        <v>9</v>
      </c>
      <c r="B250" s="4" t="s">
        <v>469</v>
      </c>
      <c r="C250" s="1">
        <v>39.0</v>
      </c>
      <c r="D250" s="3" t="s">
        <v>554</v>
      </c>
      <c r="E250" s="3" t="s">
        <v>555</v>
      </c>
      <c r="F250" s="5" t="s">
        <v>556</v>
      </c>
      <c r="G250" s="3">
        <f t="array" ref="G250">SUMPRODUCT(--(TRIM($E$2:$E$421)=TRIM(E250)))</f>
        <v>1</v>
      </c>
      <c r="H250" s="3" t="s">
        <v>268</v>
      </c>
      <c r="I250" s="3" t="s">
        <v>269</v>
      </c>
      <c r="J250" s="3"/>
      <c r="K250" s="3"/>
      <c r="L250" s="3"/>
      <c r="M250" s="3"/>
      <c r="N250" s="3"/>
      <c r="O250" s="3"/>
      <c r="P250" s="3"/>
      <c r="Q250" s="3"/>
      <c r="R250" s="3"/>
      <c r="S250" s="3"/>
      <c r="T250" s="3"/>
      <c r="U250" s="3"/>
      <c r="V250" s="3"/>
      <c r="W250" s="3"/>
      <c r="X250" s="3"/>
      <c r="Y250" s="3"/>
      <c r="Z250" s="3"/>
    </row>
    <row r="251" ht="27.0" customHeight="1">
      <c r="A251" s="3" t="s">
        <v>9</v>
      </c>
      <c r="B251" s="4" t="s">
        <v>469</v>
      </c>
      <c r="C251" s="1">
        <v>40.0</v>
      </c>
      <c r="D251" s="3" t="s">
        <v>32</v>
      </c>
      <c r="E251" s="3" t="s">
        <v>557</v>
      </c>
      <c r="F251" s="5" t="s">
        <v>558</v>
      </c>
      <c r="G251" s="3">
        <f t="array" ref="G251">SUMPRODUCT(--(TRIM($E$2:$E$421)=TRIM(E251)))</f>
        <v>1</v>
      </c>
      <c r="H251" s="3" t="s">
        <v>27</v>
      </c>
      <c r="I251" s="3" t="s">
        <v>222</v>
      </c>
      <c r="J251" s="3"/>
      <c r="K251" s="3"/>
      <c r="L251" s="3"/>
      <c r="M251" s="3"/>
      <c r="N251" s="3"/>
      <c r="O251" s="3"/>
      <c r="P251" s="3"/>
      <c r="Q251" s="3"/>
      <c r="R251" s="3"/>
      <c r="S251" s="3"/>
      <c r="T251" s="3"/>
      <c r="U251" s="3"/>
      <c r="V251" s="3"/>
      <c r="W251" s="3"/>
      <c r="X251" s="3"/>
      <c r="Y251" s="3"/>
      <c r="Z251" s="3"/>
    </row>
    <row r="252" ht="27.0" customHeight="1">
      <c r="A252" s="3" t="s">
        <v>9</v>
      </c>
      <c r="B252" s="4" t="s">
        <v>469</v>
      </c>
      <c r="C252" s="1">
        <v>41.0</v>
      </c>
      <c r="D252" s="3" t="s">
        <v>559</v>
      </c>
      <c r="E252" s="3" t="s">
        <v>560</v>
      </c>
      <c r="F252" s="5" t="s">
        <v>561</v>
      </c>
      <c r="G252" s="3">
        <f t="array" ref="G252">SUMPRODUCT(--(TRIM($E$2:$E$421)=TRIM(E252)))</f>
        <v>1</v>
      </c>
      <c r="H252" s="3" t="s">
        <v>39</v>
      </c>
      <c r="I252" s="3" t="s">
        <v>40</v>
      </c>
      <c r="J252" s="3"/>
      <c r="K252" s="3"/>
      <c r="L252" s="3"/>
      <c r="M252" s="3"/>
      <c r="N252" s="3"/>
      <c r="O252" s="3"/>
      <c r="P252" s="3"/>
      <c r="Q252" s="3"/>
      <c r="R252" s="3"/>
      <c r="S252" s="3"/>
      <c r="T252" s="3"/>
      <c r="U252" s="3"/>
      <c r="V252" s="3"/>
      <c r="W252" s="3"/>
      <c r="X252" s="3"/>
      <c r="Y252" s="3"/>
      <c r="Z252" s="3"/>
    </row>
    <row r="253" ht="27.0" customHeight="1">
      <c r="A253" s="3" t="s">
        <v>9</v>
      </c>
      <c r="B253" s="4" t="s">
        <v>469</v>
      </c>
      <c r="C253" s="1">
        <v>42.0</v>
      </c>
      <c r="D253" s="3" t="s">
        <v>562</v>
      </c>
      <c r="E253" s="3" t="s">
        <v>563</v>
      </c>
      <c r="F253" s="5" t="s">
        <v>564</v>
      </c>
      <c r="G253" s="3">
        <f t="array" ref="G253">SUMPRODUCT(--(TRIM($E$2:$E$421)=TRIM(E253)))</f>
        <v>1</v>
      </c>
      <c r="H253" s="3" t="s">
        <v>27</v>
      </c>
      <c r="I253" s="3" t="s">
        <v>222</v>
      </c>
      <c r="J253" s="3"/>
      <c r="K253" s="3"/>
      <c r="L253" s="3"/>
      <c r="M253" s="3"/>
      <c r="N253" s="3"/>
      <c r="O253" s="3"/>
      <c r="P253" s="3"/>
      <c r="Q253" s="3"/>
      <c r="R253" s="3"/>
      <c r="S253" s="3"/>
      <c r="T253" s="3"/>
      <c r="U253" s="3"/>
      <c r="V253" s="3"/>
      <c r="W253" s="3"/>
      <c r="X253" s="3"/>
      <c r="Y253" s="3"/>
      <c r="Z253" s="3"/>
    </row>
    <row r="254" ht="27.0" customHeight="1">
      <c r="A254" s="3" t="s">
        <v>9</v>
      </c>
      <c r="B254" s="4" t="s">
        <v>469</v>
      </c>
      <c r="C254" s="1">
        <v>43.0</v>
      </c>
      <c r="D254" s="3" t="s">
        <v>565</v>
      </c>
      <c r="E254" s="3" t="s">
        <v>566</v>
      </c>
      <c r="F254" s="5" t="s">
        <v>567</v>
      </c>
      <c r="G254" s="3">
        <f t="array" ref="G254">SUMPRODUCT(--(TRIM($E$2:$E$421)=TRIM(E254)))</f>
        <v>1</v>
      </c>
      <c r="H254" s="3" t="s">
        <v>54</v>
      </c>
      <c r="I254" s="3" t="s">
        <v>55</v>
      </c>
      <c r="J254" s="3"/>
      <c r="K254" s="3"/>
      <c r="L254" s="3"/>
      <c r="M254" s="3"/>
      <c r="N254" s="3"/>
      <c r="O254" s="3"/>
      <c r="P254" s="3"/>
      <c r="Q254" s="3"/>
      <c r="R254" s="3"/>
      <c r="S254" s="3"/>
      <c r="T254" s="3"/>
      <c r="U254" s="3"/>
      <c r="V254" s="3"/>
      <c r="W254" s="3"/>
      <c r="X254" s="3"/>
      <c r="Y254" s="3"/>
      <c r="Z254" s="3"/>
    </row>
    <row r="255" ht="27.0" customHeight="1">
      <c r="A255" s="3" t="s">
        <v>9</v>
      </c>
      <c r="B255" s="4" t="s">
        <v>469</v>
      </c>
      <c r="C255" s="1">
        <v>44.0</v>
      </c>
      <c r="D255" s="3" t="s">
        <v>249</v>
      </c>
      <c r="E255" s="5" t="s">
        <v>250</v>
      </c>
      <c r="F255" s="5" t="s">
        <v>251</v>
      </c>
      <c r="G255" s="3">
        <f t="array" ref="G255">SUMPRODUCT(--(TRIM($E$2:$E$421)=TRIM(E255)))</f>
        <v>5</v>
      </c>
      <c r="H255" s="3" t="s">
        <v>214</v>
      </c>
      <c r="I255" s="3" t="s">
        <v>215</v>
      </c>
      <c r="J255" s="5"/>
      <c r="K255" s="3"/>
      <c r="L255" s="3"/>
      <c r="M255" s="3"/>
      <c r="N255" s="3"/>
      <c r="O255" s="3"/>
      <c r="P255" s="3"/>
      <c r="Q255" s="3"/>
      <c r="R255" s="3"/>
      <c r="S255" s="3"/>
      <c r="T255" s="3"/>
      <c r="U255" s="3"/>
      <c r="V255" s="3"/>
      <c r="W255" s="3"/>
      <c r="X255" s="3"/>
      <c r="Y255" s="3"/>
      <c r="Z255" s="3"/>
    </row>
    <row r="256" ht="27.0" customHeight="1">
      <c r="A256" s="3" t="s">
        <v>9</v>
      </c>
      <c r="B256" s="4" t="s">
        <v>469</v>
      </c>
      <c r="C256" s="1">
        <v>45.0</v>
      </c>
      <c r="D256" s="3" t="s">
        <v>568</v>
      </c>
      <c r="E256" s="3" t="s">
        <v>569</v>
      </c>
      <c r="F256" s="5" t="s">
        <v>570</v>
      </c>
      <c r="G256" s="3">
        <f t="array" ref="G256">SUMPRODUCT(--(TRIM($E$2:$E$421)=TRIM(E256)))</f>
        <v>1</v>
      </c>
      <c r="H256" s="3" t="s">
        <v>190</v>
      </c>
      <c r="I256" s="3" t="s">
        <v>245</v>
      </c>
      <c r="J256" s="3"/>
      <c r="K256" s="3"/>
      <c r="L256" s="3"/>
      <c r="M256" s="3"/>
      <c r="N256" s="3"/>
      <c r="O256" s="3"/>
      <c r="P256" s="3"/>
      <c r="Q256" s="3"/>
      <c r="R256" s="3"/>
      <c r="S256" s="3"/>
      <c r="T256" s="3"/>
      <c r="U256" s="3"/>
      <c r="V256" s="3"/>
      <c r="W256" s="3"/>
      <c r="X256" s="3"/>
      <c r="Y256" s="3"/>
      <c r="Z256" s="3"/>
    </row>
    <row r="257" ht="27.0" customHeight="1">
      <c r="A257" s="3" t="s">
        <v>9</v>
      </c>
      <c r="B257" s="4" t="s">
        <v>469</v>
      </c>
      <c r="C257" s="1">
        <v>46.0</v>
      </c>
      <c r="D257" s="3" t="s">
        <v>32</v>
      </c>
      <c r="E257" s="3" t="s">
        <v>571</v>
      </c>
      <c r="F257" s="5" t="s">
        <v>572</v>
      </c>
      <c r="G257" s="3">
        <f t="array" ref="G257">SUMPRODUCT(--(TRIM($E$2:$E$421)=TRIM(E257)))</f>
        <v>1</v>
      </c>
      <c r="H257" s="3" t="s">
        <v>190</v>
      </c>
      <c r="I257" s="3" t="s">
        <v>245</v>
      </c>
      <c r="J257" s="3"/>
      <c r="K257" s="3"/>
      <c r="L257" s="3"/>
      <c r="M257" s="3"/>
      <c r="N257" s="3"/>
      <c r="O257" s="3"/>
      <c r="P257" s="3"/>
      <c r="Q257" s="3"/>
      <c r="R257" s="3"/>
      <c r="S257" s="3"/>
      <c r="T257" s="3"/>
      <c r="U257" s="3"/>
      <c r="V257" s="3"/>
      <c r="W257" s="3"/>
      <c r="X257" s="3"/>
      <c r="Y257" s="3"/>
      <c r="Z257" s="3"/>
    </row>
    <row r="258" ht="27.0" customHeight="1">
      <c r="A258" s="3" t="s">
        <v>9</v>
      </c>
      <c r="B258" s="4" t="s">
        <v>469</v>
      </c>
      <c r="C258" s="1">
        <v>47.0</v>
      </c>
      <c r="D258" s="3" t="s">
        <v>573</v>
      </c>
      <c r="E258" s="3" t="s">
        <v>574</v>
      </c>
      <c r="F258" s="5" t="s">
        <v>575</v>
      </c>
      <c r="G258" s="3">
        <f t="array" ref="G258">SUMPRODUCT(--(TRIM($E$2:$E$421)=TRIM(E258)))</f>
        <v>1</v>
      </c>
      <c r="H258" s="3" t="s">
        <v>35</v>
      </c>
      <c r="I258" s="3" t="s">
        <v>36</v>
      </c>
      <c r="J258" s="3"/>
      <c r="K258" s="3"/>
      <c r="L258" s="3"/>
      <c r="M258" s="3"/>
      <c r="N258" s="3"/>
      <c r="O258" s="3"/>
      <c r="P258" s="3"/>
      <c r="Q258" s="3"/>
      <c r="R258" s="3"/>
      <c r="S258" s="3"/>
      <c r="T258" s="3"/>
      <c r="U258" s="3"/>
      <c r="V258" s="3"/>
      <c r="W258" s="3"/>
      <c r="X258" s="3"/>
      <c r="Y258" s="3"/>
      <c r="Z258" s="3"/>
    </row>
    <row r="259" ht="27.0" customHeight="1">
      <c r="A259" s="3" t="s">
        <v>9</v>
      </c>
      <c r="B259" s="4" t="s">
        <v>469</v>
      </c>
      <c r="C259" s="1">
        <v>48.0</v>
      </c>
      <c r="D259" s="3" t="s">
        <v>32</v>
      </c>
      <c r="E259" s="3" t="s">
        <v>576</v>
      </c>
      <c r="F259" s="5" t="s">
        <v>577</v>
      </c>
      <c r="G259" s="3">
        <f t="array" ref="G259">SUMPRODUCT(--(TRIM($E$2:$E$421)=TRIM(E259)))</f>
        <v>1</v>
      </c>
      <c r="H259" s="3" t="s">
        <v>39</v>
      </c>
      <c r="I259" s="3" t="s">
        <v>40</v>
      </c>
      <c r="J259" s="3"/>
      <c r="K259" s="3"/>
      <c r="L259" s="3"/>
      <c r="M259" s="3"/>
      <c r="N259" s="3"/>
      <c r="O259" s="3"/>
      <c r="P259" s="3"/>
      <c r="Q259" s="3"/>
      <c r="R259" s="3"/>
      <c r="S259" s="3"/>
      <c r="T259" s="3"/>
      <c r="U259" s="3"/>
      <c r="V259" s="3"/>
      <c r="W259" s="3"/>
      <c r="X259" s="3"/>
      <c r="Y259" s="3"/>
      <c r="Z259" s="3"/>
    </row>
    <row r="260" ht="27.0" customHeight="1">
      <c r="A260" s="3" t="s">
        <v>9</v>
      </c>
      <c r="B260" s="4" t="s">
        <v>469</v>
      </c>
      <c r="C260" s="1">
        <v>49.0</v>
      </c>
      <c r="D260" s="3" t="s">
        <v>578</v>
      </c>
      <c r="E260" s="5" t="s">
        <v>208</v>
      </c>
      <c r="F260" s="5" t="s">
        <v>209</v>
      </c>
      <c r="G260" s="3">
        <f t="array" ref="G260">SUMPRODUCT(--(TRIM($E$2:$E$421)=TRIM(E260)))</f>
        <v>2</v>
      </c>
      <c r="H260" s="3" t="s">
        <v>170</v>
      </c>
      <c r="I260" s="3" t="s">
        <v>171</v>
      </c>
      <c r="J260" s="5"/>
      <c r="K260" s="3"/>
      <c r="L260" s="3"/>
      <c r="M260" s="3"/>
      <c r="N260" s="3"/>
      <c r="O260" s="3"/>
      <c r="P260" s="3"/>
      <c r="Q260" s="3"/>
      <c r="R260" s="3"/>
      <c r="S260" s="3"/>
      <c r="T260" s="3"/>
      <c r="U260" s="3"/>
      <c r="V260" s="3"/>
      <c r="W260" s="3"/>
      <c r="X260" s="3"/>
      <c r="Y260" s="3"/>
      <c r="Z260" s="3"/>
    </row>
    <row r="261" ht="27.0" customHeight="1">
      <c r="A261" s="3" t="s">
        <v>9</v>
      </c>
      <c r="B261" s="4" t="s">
        <v>469</v>
      </c>
      <c r="C261" s="1">
        <v>50.0</v>
      </c>
      <c r="D261" s="3" t="s">
        <v>32</v>
      </c>
      <c r="E261" s="3" t="s">
        <v>579</v>
      </c>
      <c r="F261" s="5" t="s">
        <v>580</v>
      </c>
      <c r="G261" s="3">
        <f t="array" ref="G261">SUMPRODUCT(--(TRIM($E$2:$E$421)=TRIM(E261)))</f>
        <v>1</v>
      </c>
      <c r="H261" s="3" t="s">
        <v>199</v>
      </c>
      <c r="I261" s="3" t="s">
        <v>264</v>
      </c>
      <c r="J261" s="3"/>
      <c r="K261" s="3"/>
      <c r="L261" s="3"/>
      <c r="M261" s="3"/>
      <c r="N261" s="3"/>
      <c r="O261" s="3"/>
      <c r="P261" s="3"/>
      <c r="Q261" s="3"/>
      <c r="R261" s="3"/>
      <c r="S261" s="3"/>
      <c r="T261" s="3"/>
      <c r="U261" s="3"/>
      <c r="V261" s="3"/>
      <c r="W261" s="3"/>
      <c r="X261" s="3"/>
      <c r="Y261" s="3"/>
      <c r="Z261" s="3"/>
    </row>
    <row r="262" ht="27.0" customHeight="1">
      <c r="A262" s="3" t="s">
        <v>9</v>
      </c>
      <c r="B262" s="4" t="s">
        <v>581</v>
      </c>
      <c r="C262" s="1">
        <v>1.0</v>
      </c>
      <c r="D262" s="3" t="s">
        <v>582</v>
      </c>
      <c r="E262" s="3" t="s">
        <v>583</v>
      </c>
      <c r="F262" s="5" t="s">
        <v>584</v>
      </c>
      <c r="G262" s="3">
        <f t="array" ref="G262">SUMPRODUCT(--(TRIM($E$2:$E$421)=TRIM(E262)))</f>
        <v>1</v>
      </c>
      <c r="H262" s="3" t="s">
        <v>145</v>
      </c>
      <c r="I262" s="3" t="s">
        <v>146</v>
      </c>
      <c r="J262" s="3"/>
      <c r="K262" s="3"/>
      <c r="L262" s="3"/>
      <c r="M262" s="3"/>
      <c r="N262" s="3"/>
      <c r="O262" s="3"/>
      <c r="P262" s="3"/>
      <c r="Q262" s="3"/>
      <c r="R262" s="3"/>
      <c r="S262" s="3"/>
      <c r="T262" s="3"/>
      <c r="U262" s="3"/>
      <c r="V262" s="3"/>
      <c r="W262" s="3"/>
      <c r="X262" s="3"/>
      <c r="Y262" s="3"/>
      <c r="Z262" s="3"/>
    </row>
    <row r="263" ht="27.0" customHeight="1">
      <c r="A263" s="3" t="s">
        <v>9</v>
      </c>
      <c r="B263" s="4" t="s">
        <v>581</v>
      </c>
      <c r="C263" s="1">
        <v>2.0</v>
      </c>
      <c r="D263" s="3" t="s">
        <v>585</v>
      </c>
      <c r="E263" s="3" t="s">
        <v>534</v>
      </c>
      <c r="F263" s="5" t="s">
        <v>535</v>
      </c>
      <c r="G263" s="3">
        <f t="array" ref="G263">SUMPRODUCT(--(TRIM($E$2:$E$421)=TRIM(E263)))</f>
        <v>2</v>
      </c>
      <c r="H263" s="3" t="s">
        <v>35</v>
      </c>
      <c r="I263" s="3" t="s">
        <v>36</v>
      </c>
      <c r="J263" s="3"/>
      <c r="K263" s="3"/>
      <c r="L263" s="3"/>
      <c r="M263" s="3"/>
      <c r="N263" s="3"/>
      <c r="O263" s="3"/>
      <c r="P263" s="3"/>
      <c r="Q263" s="3"/>
      <c r="R263" s="3"/>
      <c r="S263" s="3"/>
      <c r="T263" s="3"/>
      <c r="U263" s="3"/>
      <c r="V263" s="3"/>
      <c r="W263" s="3"/>
      <c r="X263" s="3"/>
      <c r="Y263" s="3"/>
      <c r="Z263" s="3"/>
    </row>
    <row r="264" ht="27.0" customHeight="1">
      <c r="A264" s="3" t="s">
        <v>9</v>
      </c>
      <c r="B264" s="4" t="s">
        <v>581</v>
      </c>
      <c r="C264" s="1">
        <v>3.0</v>
      </c>
      <c r="D264" s="3" t="s">
        <v>32</v>
      </c>
      <c r="E264" s="3" t="s">
        <v>586</v>
      </c>
      <c r="F264" s="5" t="s">
        <v>587</v>
      </c>
      <c r="G264" s="3">
        <f t="array" ref="G264">SUMPRODUCT(--(TRIM($E$2:$E$421)=TRIM(E264)))</f>
        <v>1</v>
      </c>
      <c r="H264" s="3" t="s">
        <v>44</v>
      </c>
      <c r="I264" s="3" t="s">
        <v>45</v>
      </c>
      <c r="J264" s="3"/>
      <c r="K264" s="3"/>
      <c r="L264" s="3"/>
      <c r="M264" s="3"/>
      <c r="N264" s="3"/>
      <c r="O264" s="3"/>
      <c r="P264" s="3"/>
      <c r="Q264" s="3"/>
      <c r="R264" s="3"/>
      <c r="S264" s="3"/>
      <c r="T264" s="3"/>
      <c r="U264" s="3"/>
      <c r="V264" s="3"/>
      <c r="W264" s="3"/>
      <c r="X264" s="3"/>
      <c r="Y264" s="3"/>
      <c r="Z264" s="3"/>
    </row>
    <row r="265" ht="27.0" customHeight="1">
      <c r="A265" s="3" t="s">
        <v>9</v>
      </c>
      <c r="B265" s="4" t="s">
        <v>581</v>
      </c>
      <c r="C265" s="1">
        <v>4.0</v>
      </c>
      <c r="D265" s="3" t="s">
        <v>32</v>
      </c>
      <c r="E265" s="3" t="s">
        <v>588</v>
      </c>
      <c r="F265" s="5" t="s">
        <v>589</v>
      </c>
      <c r="G265" s="3">
        <f t="array" ref="G265">SUMPRODUCT(--(TRIM($E$2:$E$421)=TRIM(E265)))</f>
        <v>1</v>
      </c>
      <c r="H265" s="3" t="s">
        <v>199</v>
      </c>
      <c r="I265" s="3" t="s">
        <v>264</v>
      </c>
      <c r="J265" s="3"/>
      <c r="K265" s="3"/>
      <c r="L265" s="3"/>
      <c r="M265" s="3"/>
      <c r="N265" s="3"/>
      <c r="O265" s="3"/>
      <c r="P265" s="3"/>
      <c r="Q265" s="3"/>
      <c r="R265" s="3"/>
      <c r="S265" s="3"/>
      <c r="T265" s="3"/>
      <c r="U265" s="3"/>
      <c r="V265" s="3"/>
      <c r="W265" s="3"/>
      <c r="X265" s="3"/>
      <c r="Y265" s="3"/>
      <c r="Z265" s="3"/>
    </row>
    <row r="266" ht="27.0" customHeight="1">
      <c r="A266" s="3" t="s">
        <v>9</v>
      </c>
      <c r="B266" s="4" t="s">
        <v>581</v>
      </c>
      <c r="C266" s="1">
        <v>5.0</v>
      </c>
      <c r="D266" s="3" t="s">
        <v>590</v>
      </c>
      <c r="E266" s="3" t="s">
        <v>591</v>
      </c>
      <c r="F266" s="5" t="s">
        <v>592</v>
      </c>
      <c r="G266" s="3">
        <f t="array" ref="G266">SUMPRODUCT(--(TRIM($E$2:$E$421)=TRIM(E266)))</f>
        <v>1</v>
      </c>
      <c r="H266" s="3" t="s">
        <v>59</v>
      </c>
      <c r="I266" s="3" t="s">
        <v>60</v>
      </c>
      <c r="J266" s="3"/>
      <c r="K266" s="3"/>
      <c r="L266" s="3"/>
      <c r="M266" s="3"/>
      <c r="N266" s="3"/>
      <c r="O266" s="3"/>
      <c r="P266" s="3"/>
      <c r="Q266" s="3"/>
      <c r="R266" s="3"/>
      <c r="S266" s="3"/>
      <c r="T266" s="3"/>
      <c r="U266" s="3"/>
      <c r="V266" s="3"/>
      <c r="W266" s="3"/>
      <c r="X266" s="3"/>
      <c r="Y266" s="3"/>
      <c r="Z266" s="3"/>
    </row>
    <row r="267" ht="27.0" customHeight="1">
      <c r="A267" s="3" t="s">
        <v>9</v>
      </c>
      <c r="B267" s="4" t="s">
        <v>581</v>
      </c>
      <c r="C267" s="1">
        <v>6.0</v>
      </c>
      <c r="D267" s="3" t="s">
        <v>32</v>
      </c>
      <c r="E267" s="3" t="s">
        <v>593</v>
      </c>
      <c r="F267" s="5" t="s">
        <v>594</v>
      </c>
      <c r="G267" s="3">
        <f t="array" ref="G267">SUMPRODUCT(--(TRIM($E$2:$E$421)=TRIM(E267)))</f>
        <v>1</v>
      </c>
      <c r="H267" s="3" t="s">
        <v>14</v>
      </c>
      <c r="I267" s="3" t="s">
        <v>302</v>
      </c>
      <c r="J267" s="3"/>
      <c r="K267" s="3"/>
      <c r="L267" s="3"/>
      <c r="M267" s="3"/>
      <c r="N267" s="3"/>
      <c r="O267" s="3"/>
      <c r="P267" s="3"/>
      <c r="Q267" s="3"/>
      <c r="R267" s="3"/>
      <c r="S267" s="3"/>
      <c r="T267" s="3"/>
      <c r="U267" s="3"/>
      <c r="V267" s="3"/>
      <c r="W267" s="3"/>
      <c r="X267" s="3"/>
      <c r="Y267" s="3"/>
      <c r="Z267" s="3"/>
    </row>
    <row r="268" ht="27.0" customHeight="1">
      <c r="A268" s="3" t="s">
        <v>9</v>
      </c>
      <c r="B268" s="4" t="s">
        <v>581</v>
      </c>
      <c r="C268" s="1">
        <v>7.0</v>
      </c>
      <c r="D268" s="3" t="s">
        <v>595</v>
      </c>
      <c r="E268" s="3" t="s">
        <v>596</v>
      </c>
      <c r="F268" s="5" t="s">
        <v>597</v>
      </c>
      <c r="G268" s="3">
        <f t="array" ref="G268">SUMPRODUCT(--(TRIM($E$2:$E$421)=TRIM(E268)))</f>
        <v>1</v>
      </c>
      <c r="H268" s="3" t="s">
        <v>317</v>
      </c>
      <c r="I268" s="3" t="s">
        <v>264</v>
      </c>
      <c r="J268" s="3"/>
      <c r="K268" s="3"/>
      <c r="L268" s="3"/>
      <c r="M268" s="3"/>
      <c r="N268" s="3"/>
      <c r="O268" s="3"/>
      <c r="P268" s="3"/>
      <c r="Q268" s="3"/>
      <c r="R268" s="3"/>
      <c r="S268" s="3"/>
      <c r="T268" s="3"/>
      <c r="U268" s="3"/>
      <c r="V268" s="3"/>
      <c r="W268" s="3"/>
      <c r="X268" s="3"/>
      <c r="Y268" s="3"/>
      <c r="Z268" s="3"/>
    </row>
    <row r="269" ht="27.0" customHeight="1">
      <c r="A269" s="3" t="s">
        <v>9</v>
      </c>
      <c r="B269" s="4" t="s">
        <v>581</v>
      </c>
      <c r="C269" s="1">
        <v>8.0</v>
      </c>
      <c r="D269" s="3" t="s">
        <v>32</v>
      </c>
      <c r="E269" s="3" t="s">
        <v>598</v>
      </c>
      <c r="F269" s="5" t="s">
        <v>599</v>
      </c>
      <c r="G269" s="3">
        <f t="array" ref="G269">SUMPRODUCT(--(TRIM($E$2:$E$421)=TRIM(E269)))</f>
        <v>1</v>
      </c>
      <c r="H269" s="3" t="s">
        <v>317</v>
      </c>
      <c r="I269" s="3" t="s">
        <v>264</v>
      </c>
      <c r="J269" s="3"/>
      <c r="K269" s="3"/>
      <c r="L269" s="3"/>
      <c r="M269" s="3"/>
      <c r="N269" s="3"/>
      <c r="O269" s="3"/>
      <c r="P269" s="3"/>
      <c r="Q269" s="3"/>
      <c r="R269" s="3"/>
      <c r="S269" s="3"/>
      <c r="T269" s="3"/>
      <c r="U269" s="3"/>
      <c r="V269" s="3"/>
      <c r="W269" s="3"/>
      <c r="X269" s="3"/>
      <c r="Y269" s="3"/>
      <c r="Z269" s="3"/>
    </row>
    <row r="270" ht="27.0" customHeight="1">
      <c r="A270" s="3" t="s">
        <v>9</v>
      </c>
      <c r="B270" s="4" t="s">
        <v>581</v>
      </c>
      <c r="C270" s="1">
        <v>9.0</v>
      </c>
      <c r="D270" s="3" t="s">
        <v>210</v>
      </c>
      <c r="E270" s="3" t="s">
        <v>600</v>
      </c>
      <c r="F270" s="5" t="s">
        <v>601</v>
      </c>
      <c r="G270" s="3">
        <f t="array" ref="G270">SUMPRODUCT(--(TRIM($E$2:$E$421)=TRIM(E270)))</f>
        <v>1</v>
      </c>
      <c r="H270" s="3" t="s">
        <v>301</v>
      </c>
      <c r="I270" s="3" t="s">
        <v>302</v>
      </c>
      <c r="J270" s="3"/>
      <c r="K270" s="3"/>
      <c r="L270" s="3"/>
      <c r="M270" s="3"/>
      <c r="N270" s="3"/>
      <c r="O270" s="3"/>
      <c r="P270" s="3"/>
      <c r="Q270" s="3"/>
      <c r="R270" s="3"/>
      <c r="S270" s="3"/>
      <c r="T270" s="3"/>
      <c r="U270" s="3"/>
      <c r="V270" s="3"/>
      <c r="W270" s="3"/>
      <c r="X270" s="3"/>
      <c r="Y270" s="3"/>
      <c r="Z270" s="3"/>
    </row>
    <row r="271" ht="27.0" customHeight="1">
      <c r="A271" s="3" t="s">
        <v>9</v>
      </c>
      <c r="B271" s="4" t="s">
        <v>581</v>
      </c>
      <c r="C271" s="1">
        <v>10.0</v>
      </c>
      <c r="D271" s="3" t="s">
        <v>32</v>
      </c>
      <c r="E271" s="3" t="s">
        <v>602</v>
      </c>
      <c r="F271" s="5" t="s">
        <v>603</v>
      </c>
      <c r="G271" s="3">
        <f t="array" ref="G271">SUMPRODUCT(--(TRIM($E$2:$E$421)=TRIM(E271)))</f>
        <v>1</v>
      </c>
      <c r="H271" s="3" t="s">
        <v>105</v>
      </c>
      <c r="I271" s="3" t="s">
        <v>106</v>
      </c>
      <c r="J271" s="3"/>
      <c r="K271" s="3"/>
      <c r="L271" s="3"/>
      <c r="M271" s="3"/>
      <c r="N271" s="3"/>
      <c r="O271" s="3"/>
      <c r="P271" s="3"/>
      <c r="Q271" s="3"/>
      <c r="R271" s="3"/>
      <c r="S271" s="3"/>
      <c r="T271" s="3"/>
      <c r="U271" s="3"/>
      <c r="V271" s="3"/>
      <c r="W271" s="3"/>
      <c r="X271" s="3"/>
      <c r="Y271" s="3"/>
      <c r="Z271" s="3"/>
    </row>
    <row r="272" ht="27.0" customHeight="1">
      <c r="A272" s="3" t="s">
        <v>9</v>
      </c>
      <c r="B272" s="4" t="s">
        <v>581</v>
      </c>
      <c r="C272" s="1">
        <v>11.0</v>
      </c>
      <c r="D272" s="3" t="s">
        <v>32</v>
      </c>
      <c r="E272" s="3" t="s">
        <v>604</v>
      </c>
      <c r="F272" s="5" t="s">
        <v>605</v>
      </c>
      <c r="G272" s="3">
        <f t="array" ref="G272">SUMPRODUCT(--(TRIM($E$2:$E$421)=TRIM(E272)))</f>
        <v>1</v>
      </c>
      <c r="H272" s="3" t="s">
        <v>14</v>
      </c>
      <c r="I272" s="3" t="s">
        <v>110</v>
      </c>
      <c r="J272" s="3"/>
      <c r="K272" s="3"/>
      <c r="L272" s="3"/>
      <c r="M272" s="3"/>
      <c r="N272" s="3"/>
      <c r="O272" s="3"/>
      <c r="P272" s="3"/>
      <c r="Q272" s="3"/>
      <c r="R272" s="3"/>
      <c r="S272" s="3"/>
      <c r="T272" s="3"/>
      <c r="U272" s="3"/>
      <c r="V272" s="3"/>
      <c r="W272" s="3"/>
      <c r="X272" s="3"/>
      <c r="Y272" s="3"/>
      <c r="Z272" s="3"/>
    </row>
    <row r="273" ht="27.0" customHeight="1">
      <c r="A273" s="3" t="s">
        <v>9</v>
      </c>
      <c r="B273" s="4" t="s">
        <v>581</v>
      </c>
      <c r="C273" s="1">
        <v>12.0</v>
      </c>
      <c r="D273" s="3" t="s">
        <v>606</v>
      </c>
      <c r="E273" s="3" t="s">
        <v>607</v>
      </c>
      <c r="F273" s="5" t="s">
        <v>608</v>
      </c>
      <c r="G273" s="3">
        <f t="array" ref="G273">SUMPRODUCT(--(TRIM($E$2:$E$421)=TRIM(E273)))</f>
        <v>1</v>
      </c>
      <c r="H273" s="3" t="s">
        <v>73</v>
      </c>
      <c r="I273" s="3" t="s">
        <v>74</v>
      </c>
      <c r="J273" s="3"/>
      <c r="K273" s="3"/>
      <c r="L273" s="3"/>
      <c r="M273" s="3"/>
      <c r="N273" s="3"/>
      <c r="O273" s="3"/>
      <c r="P273" s="3"/>
      <c r="Q273" s="3"/>
      <c r="R273" s="3"/>
      <c r="S273" s="3"/>
      <c r="T273" s="3"/>
      <c r="U273" s="3"/>
      <c r="V273" s="3"/>
      <c r="W273" s="3"/>
      <c r="X273" s="3"/>
      <c r="Y273" s="3"/>
      <c r="Z273" s="3"/>
    </row>
    <row r="274" ht="27.0" customHeight="1">
      <c r="A274" s="3" t="s">
        <v>9</v>
      </c>
      <c r="B274" s="4" t="s">
        <v>581</v>
      </c>
      <c r="C274" s="1">
        <v>13.0</v>
      </c>
      <c r="D274" s="3" t="s">
        <v>32</v>
      </c>
      <c r="E274" s="3" t="s">
        <v>609</v>
      </c>
      <c r="F274" s="5" t="s">
        <v>610</v>
      </c>
      <c r="G274" s="3">
        <f t="array" ref="G274">SUMPRODUCT(--(TRIM($E$2:$E$421)=TRIM(E274)))</f>
        <v>1</v>
      </c>
      <c r="H274" s="3" t="s">
        <v>141</v>
      </c>
      <c r="I274" s="3" t="s">
        <v>55</v>
      </c>
      <c r="J274" s="3"/>
      <c r="K274" s="3"/>
      <c r="L274" s="3"/>
      <c r="M274" s="3"/>
      <c r="N274" s="3"/>
      <c r="O274" s="3"/>
      <c r="P274" s="3"/>
      <c r="Q274" s="3"/>
      <c r="R274" s="3"/>
      <c r="S274" s="3"/>
      <c r="T274" s="3"/>
      <c r="U274" s="3"/>
      <c r="V274" s="3"/>
      <c r="W274" s="3"/>
      <c r="X274" s="3"/>
      <c r="Y274" s="3"/>
      <c r="Z274" s="3"/>
    </row>
    <row r="275" ht="27.0" customHeight="1">
      <c r="A275" s="3" t="s">
        <v>9</v>
      </c>
      <c r="B275" s="4" t="s">
        <v>581</v>
      </c>
      <c r="C275" s="1">
        <v>14.0</v>
      </c>
      <c r="D275" s="3" t="s">
        <v>32</v>
      </c>
      <c r="E275" s="3" t="s">
        <v>611</v>
      </c>
      <c r="F275" s="5" t="s">
        <v>612</v>
      </c>
      <c r="G275" s="3">
        <f t="array" ref="G275">SUMPRODUCT(--(TRIM($E$2:$E$421)=TRIM(E275)))</f>
        <v>1</v>
      </c>
      <c r="H275" s="3" t="s">
        <v>64</v>
      </c>
      <c r="I275" s="3" t="s">
        <v>176</v>
      </c>
      <c r="J275" s="3"/>
      <c r="K275" s="3"/>
      <c r="L275" s="3"/>
      <c r="M275" s="3"/>
      <c r="N275" s="3"/>
      <c r="O275" s="3"/>
      <c r="P275" s="3"/>
      <c r="Q275" s="3"/>
      <c r="R275" s="3"/>
      <c r="S275" s="3"/>
      <c r="T275" s="3"/>
      <c r="U275" s="3"/>
      <c r="V275" s="3"/>
      <c r="W275" s="3"/>
      <c r="X275" s="3"/>
      <c r="Y275" s="3"/>
      <c r="Z275" s="3"/>
    </row>
    <row r="276" ht="27.0" customHeight="1">
      <c r="A276" s="3" t="s">
        <v>9</v>
      </c>
      <c r="B276" s="4" t="s">
        <v>581</v>
      </c>
      <c r="C276" s="1">
        <v>15.0</v>
      </c>
      <c r="D276" s="3" t="s">
        <v>613</v>
      </c>
      <c r="E276" s="3" t="s">
        <v>614</v>
      </c>
      <c r="F276" s="5" t="s">
        <v>615</v>
      </c>
      <c r="G276" s="3">
        <f t="array" ref="G276">SUMPRODUCT(--(TRIM($E$2:$E$421)=TRIM(E276)))</f>
        <v>1</v>
      </c>
      <c r="H276" s="3" t="s">
        <v>150</v>
      </c>
      <c r="I276" s="3" t="s">
        <v>352</v>
      </c>
      <c r="J276" s="3"/>
      <c r="K276" s="3"/>
      <c r="L276" s="3"/>
      <c r="M276" s="3"/>
      <c r="N276" s="3"/>
      <c r="O276" s="3"/>
      <c r="P276" s="3"/>
      <c r="Q276" s="3"/>
      <c r="R276" s="3"/>
      <c r="S276" s="3"/>
      <c r="T276" s="3"/>
      <c r="U276" s="3"/>
      <c r="V276" s="3"/>
      <c r="W276" s="3"/>
      <c r="X276" s="3"/>
      <c r="Y276" s="3"/>
      <c r="Z276" s="3"/>
    </row>
    <row r="277" ht="27.0" customHeight="1">
      <c r="A277" s="3" t="s">
        <v>9</v>
      </c>
      <c r="B277" s="4" t="s">
        <v>581</v>
      </c>
      <c r="C277" s="1">
        <v>16.0</v>
      </c>
      <c r="D277" s="3" t="s">
        <v>32</v>
      </c>
      <c r="E277" s="3" t="s">
        <v>616</v>
      </c>
      <c r="F277" s="5" t="s">
        <v>617</v>
      </c>
      <c r="G277" s="3">
        <f t="array" ref="G277">SUMPRODUCT(--(TRIM($E$2:$E$421)=TRIM(E277)))</f>
        <v>1</v>
      </c>
      <c r="H277" s="3" t="s">
        <v>150</v>
      </c>
      <c r="I277" s="3" t="s">
        <v>151</v>
      </c>
      <c r="J277" s="3"/>
      <c r="K277" s="3"/>
      <c r="L277" s="3"/>
      <c r="M277" s="3"/>
      <c r="N277" s="3"/>
      <c r="O277" s="3"/>
      <c r="P277" s="3"/>
      <c r="Q277" s="3"/>
      <c r="R277" s="3"/>
      <c r="S277" s="3"/>
      <c r="T277" s="3"/>
      <c r="U277" s="3"/>
      <c r="V277" s="3"/>
      <c r="W277" s="3"/>
      <c r="X277" s="3"/>
      <c r="Y277" s="3"/>
      <c r="Z277" s="3"/>
    </row>
    <row r="278" ht="27.0" customHeight="1">
      <c r="A278" s="3" t="s">
        <v>9</v>
      </c>
      <c r="B278" s="4" t="s">
        <v>581</v>
      </c>
      <c r="C278" s="1">
        <v>17.0</v>
      </c>
      <c r="D278" s="3" t="s">
        <v>32</v>
      </c>
      <c r="E278" s="3" t="s">
        <v>618</v>
      </c>
      <c r="F278" s="5" t="s">
        <v>619</v>
      </c>
      <c r="G278" s="3">
        <f t="array" ref="G278">SUMPRODUCT(--(TRIM($E$2:$E$421)=TRIM(E278)))</f>
        <v>1</v>
      </c>
      <c r="H278" s="3" t="s">
        <v>64</v>
      </c>
      <c r="I278" s="3" t="s">
        <v>176</v>
      </c>
      <c r="J278" s="3"/>
      <c r="K278" s="3"/>
      <c r="L278" s="3"/>
      <c r="M278" s="3"/>
      <c r="N278" s="3"/>
      <c r="O278" s="3"/>
      <c r="P278" s="3"/>
      <c r="Q278" s="3"/>
      <c r="R278" s="3"/>
      <c r="S278" s="3"/>
      <c r="T278" s="3"/>
      <c r="U278" s="3"/>
      <c r="V278" s="3"/>
      <c r="W278" s="3"/>
      <c r="X278" s="3"/>
      <c r="Y278" s="3"/>
      <c r="Z278" s="3"/>
    </row>
    <row r="279" ht="27.0" customHeight="1">
      <c r="A279" s="3" t="s">
        <v>9</v>
      </c>
      <c r="B279" s="4" t="s">
        <v>581</v>
      </c>
      <c r="C279" s="1">
        <v>18.0</v>
      </c>
      <c r="D279" s="3" t="s">
        <v>620</v>
      </c>
      <c r="E279" s="3" t="s">
        <v>621</v>
      </c>
      <c r="F279" s="5" t="s">
        <v>622</v>
      </c>
      <c r="G279" s="3">
        <f t="array" ref="G279">SUMPRODUCT(--(TRIM($E$2:$E$421)=TRIM(E279)))</f>
        <v>1</v>
      </c>
      <c r="H279" s="3" t="s">
        <v>150</v>
      </c>
      <c r="I279" s="3" t="s">
        <v>352</v>
      </c>
      <c r="J279" s="3"/>
      <c r="K279" s="3"/>
      <c r="L279" s="3"/>
      <c r="M279" s="3"/>
      <c r="N279" s="3"/>
      <c r="O279" s="3"/>
      <c r="P279" s="3"/>
      <c r="Q279" s="3"/>
      <c r="R279" s="3"/>
      <c r="S279" s="3"/>
      <c r="T279" s="3"/>
      <c r="U279" s="3"/>
      <c r="V279" s="3"/>
      <c r="W279" s="3"/>
      <c r="X279" s="3"/>
      <c r="Y279" s="3"/>
      <c r="Z279" s="3"/>
    </row>
    <row r="280" ht="27.0" customHeight="1">
      <c r="A280" s="3" t="s">
        <v>9</v>
      </c>
      <c r="B280" s="4" t="s">
        <v>581</v>
      </c>
      <c r="C280" s="1">
        <v>19.0</v>
      </c>
      <c r="D280" s="3" t="s">
        <v>623</v>
      </c>
      <c r="E280" s="5" t="s">
        <v>624</v>
      </c>
      <c r="F280" s="5" t="s">
        <v>625</v>
      </c>
      <c r="G280" s="3">
        <f t="array" ref="G280">SUMPRODUCT(--(TRIM($E$2:$E$421)=TRIM(E280)))</f>
        <v>2</v>
      </c>
      <c r="H280" s="3" t="s">
        <v>626</v>
      </c>
      <c r="I280" s="3" t="s">
        <v>65</v>
      </c>
      <c r="J280" s="3"/>
      <c r="K280" s="3"/>
      <c r="L280" s="3"/>
      <c r="M280" s="3"/>
      <c r="N280" s="3"/>
      <c r="O280" s="3"/>
      <c r="P280" s="3"/>
      <c r="Q280" s="3"/>
      <c r="R280" s="3"/>
      <c r="S280" s="3"/>
      <c r="T280" s="3"/>
      <c r="U280" s="3"/>
      <c r="V280" s="3"/>
      <c r="W280" s="3"/>
      <c r="X280" s="3"/>
      <c r="Y280" s="3"/>
      <c r="Z280" s="3"/>
    </row>
    <row r="281" ht="27.0" customHeight="1">
      <c r="A281" s="3" t="s">
        <v>9</v>
      </c>
      <c r="B281" s="4" t="s">
        <v>581</v>
      </c>
      <c r="C281" s="1">
        <v>20.0</v>
      </c>
      <c r="D281" s="3" t="s">
        <v>32</v>
      </c>
      <c r="E281" s="3" t="s">
        <v>627</v>
      </c>
      <c r="F281" s="5" t="s">
        <v>628</v>
      </c>
      <c r="G281" s="3">
        <f t="array" ref="G281">SUMPRODUCT(--(TRIM($E$2:$E$421)=TRIM(E281)))</f>
        <v>1</v>
      </c>
      <c r="H281" s="3" t="s">
        <v>35</v>
      </c>
      <c r="I281" s="3" t="s">
        <v>36</v>
      </c>
      <c r="J281" s="3"/>
      <c r="K281" s="3"/>
      <c r="L281" s="3"/>
      <c r="M281" s="3"/>
      <c r="N281" s="3"/>
      <c r="O281" s="3"/>
      <c r="P281" s="3"/>
      <c r="Q281" s="3"/>
      <c r="R281" s="3"/>
      <c r="S281" s="3"/>
      <c r="T281" s="3"/>
      <c r="U281" s="3"/>
      <c r="V281" s="3"/>
      <c r="W281" s="3"/>
      <c r="X281" s="3"/>
      <c r="Y281" s="3"/>
      <c r="Z281" s="3"/>
    </row>
    <row r="282" ht="27.0" customHeight="1">
      <c r="A282" s="3" t="s">
        <v>9</v>
      </c>
      <c r="B282" s="4" t="s">
        <v>581</v>
      </c>
      <c r="C282" s="1">
        <v>21.0</v>
      </c>
      <c r="D282" s="3" t="s">
        <v>32</v>
      </c>
      <c r="E282" s="3" t="s">
        <v>629</v>
      </c>
      <c r="F282" s="5" t="s">
        <v>630</v>
      </c>
      <c r="G282" s="3">
        <f t="array" ref="G282">SUMPRODUCT(--(TRIM($E$2:$E$421)=TRIM(E282)))</f>
        <v>1</v>
      </c>
      <c r="H282" s="3" t="s">
        <v>14</v>
      </c>
      <c r="I282" s="3" t="s">
        <v>83</v>
      </c>
      <c r="J282" s="3"/>
      <c r="K282" s="3"/>
      <c r="L282" s="3"/>
      <c r="M282" s="3"/>
      <c r="N282" s="3"/>
      <c r="O282" s="3"/>
      <c r="P282" s="3"/>
      <c r="Q282" s="3"/>
      <c r="R282" s="3"/>
      <c r="S282" s="3"/>
      <c r="T282" s="3"/>
      <c r="U282" s="3"/>
      <c r="V282" s="3"/>
      <c r="W282" s="3"/>
      <c r="X282" s="3"/>
      <c r="Y282" s="3"/>
      <c r="Z282" s="3"/>
    </row>
    <row r="283" ht="27.0" customHeight="1">
      <c r="A283" s="3" t="s">
        <v>9</v>
      </c>
      <c r="B283" s="4" t="s">
        <v>581</v>
      </c>
      <c r="C283" s="1">
        <v>22.0</v>
      </c>
      <c r="D283" s="3" t="s">
        <v>631</v>
      </c>
      <c r="E283" s="3" t="s">
        <v>632</v>
      </c>
      <c r="F283" s="5" t="s">
        <v>633</v>
      </c>
      <c r="G283" s="3">
        <f t="array" ref="G283">SUMPRODUCT(--(TRIM($E$2:$E$421)=TRIM(E283)))</f>
        <v>1</v>
      </c>
      <c r="H283" s="3" t="s">
        <v>35</v>
      </c>
      <c r="I283" s="3" t="s">
        <v>36</v>
      </c>
      <c r="J283" s="3"/>
      <c r="K283" s="3"/>
      <c r="L283" s="3"/>
      <c r="M283" s="3"/>
      <c r="N283" s="3"/>
      <c r="O283" s="3"/>
      <c r="P283" s="3"/>
      <c r="Q283" s="3"/>
      <c r="R283" s="3"/>
      <c r="S283" s="3"/>
      <c r="T283" s="3"/>
      <c r="U283" s="3"/>
      <c r="V283" s="3"/>
      <c r="W283" s="3"/>
      <c r="X283" s="3"/>
      <c r="Y283" s="3"/>
      <c r="Z283" s="3"/>
    </row>
    <row r="284" ht="27.0" customHeight="1">
      <c r="A284" s="3" t="s">
        <v>9</v>
      </c>
      <c r="B284" s="4" t="s">
        <v>581</v>
      </c>
      <c r="C284" s="1">
        <v>23.0</v>
      </c>
      <c r="D284" s="3" t="s">
        <v>634</v>
      </c>
      <c r="E284" s="3" t="s">
        <v>635</v>
      </c>
      <c r="F284" s="5" t="s">
        <v>636</v>
      </c>
      <c r="G284" s="3">
        <f t="array" ref="G284">SUMPRODUCT(--(TRIM($E$2:$E$421)=TRIM(E284)))</f>
        <v>1</v>
      </c>
      <c r="H284" s="3" t="s">
        <v>484</v>
      </c>
      <c r="I284" s="3" t="s">
        <v>171</v>
      </c>
      <c r="J284" s="3"/>
      <c r="K284" s="3"/>
      <c r="L284" s="3"/>
      <c r="M284" s="3"/>
      <c r="N284" s="3"/>
      <c r="O284" s="3"/>
      <c r="P284" s="3"/>
      <c r="Q284" s="3"/>
      <c r="R284" s="3"/>
      <c r="S284" s="3"/>
      <c r="T284" s="3"/>
      <c r="U284" s="3"/>
      <c r="V284" s="3"/>
      <c r="W284" s="3"/>
      <c r="X284" s="3"/>
      <c r="Y284" s="3"/>
      <c r="Z284" s="3"/>
    </row>
    <row r="285" ht="27.0" customHeight="1">
      <c r="A285" s="3" t="s">
        <v>9</v>
      </c>
      <c r="B285" s="4" t="s">
        <v>581</v>
      </c>
      <c r="C285" s="1">
        <v>24.0</v>
      </c>
      <c r="D285" s="3" t="s">
        <v>32</v>
      </c>
      <c r="E285" s="3" t="s">
        <v>637</v>
      </c>
      <c r="F285" s="5" t="s">
        <v>638</v>
      </c>
      <c r="G285" s="3">
        <f t="array" ref="G285">SUMPRODUCT(--(TRIM($E$2:$E$421)=TRIM(E285)))</f>
        <v>1</v>
      </c>
      <c r="H285" s="3" t="s">
        <v>338</v>
      </c>
      <c r="I285" s="3" t="s">
        <v>339</v>
      </c>
      <c r="J285" s="3"/>
      <c r="K285" s="3"/>
      <c r="L285" s="3"/>
      <c r="M285" s="3"/>
      <c r="N285" s="3"/>
      <c r="O285" s="3"/>
      <c r="P285" s="3"/>
      <c r="Q285" s="3"/>
      <c r="R285" s="3"/>
      <c r="S285" s="3"/>
      <c r="T285" s="3"/>
      <c r="U285" s="3"/>
      <c r="V285" s="3"/>
      <c r="W285" s="3"/>
      <c r="X285" s="3"/>
      <c r="Y285" s="3"/>
      <c r="Z285" s="3"/>
    </row>
    <row r="286" ht="27.0" customHeight="1">
      <c r="A286" s="3" t="s">
        <v>9</v>
      </c>
      <c r="B286" s="4" t="s">
        <v>581</v>
      </c>
      <c r="C286" s="1">
        <v>25.0</v>
      </c>
      <c r="D286" s="3" t="s">
        <v>32</v>
      </c>
      <c r="E286" s="3" t="s">
        <v>639</v>
      </c>
      <c r="F286" s="5" t="s">
        <v>640</v>
      </c>
      <c r="G286" s="3">
        <f t="array" ref="G286">SUMPRODUCT(--(TRIM($E$2:$E$421)=TRIM(E286)))</f>
        <v>1</v>
      </c>
      <c r="H286" s="3" t="s">
        <v>44</v>
      </c>
      <c r="I286" s="3" t="s">
        <v>45</v>
      </c>
      <c r="J286" s="3"/>
      <c r="K286" s="3"/>
      <c r="L286" s="3"/>
      <c r="M286" s="3"/>
      <c r="N286" s="3"/>
      <c r="O286" s="3"/>
      <c r="P286" s="3"/>
      <c r="Q286" s="3"/>
      <c r="R286" s="3"/>
      <c r="S286" s="3"/>
      <c r="T286" s="3"/>
      <c r="U286" s="3"/>
      <c r="V286" s="3"/>
      <c r="W286" s="3"/>
      <c r="X286" s="3"/>
      <c r="Y286" s="3"/>
      <c r="Z286" s="3"/>
    </row>
    <row r="287" ht="27.0" customHeight="1">
      <c r="A287" s="3" t="s">
        <v>9</v>
      </c>
      <c r="B287" s="4" t="s">
        <v>581</v>
      </c>
      <c r="C287" s="1">
        <v>26.0</v>
      </c>
      <c r="D287" s="3" t="s">
        <v>641</v>
      </c>
      <c r="E287" s="3" t="s">
        <v>642</v>
      </c>
      <c r="F287" s="5" t="s">
        <v>643</v>
      </c>
      <c r="G287" s="3">
        <f t="array" ref="G287">SUMPRODUCT(--(TRIM($E$2:$E$421)=TRIM(E287)))</f>
        <v>2</v>
      </c>
      <c r="H287" s="3" t="s">
        <v>14</v>
      </c>
      <c r="I287" s="3" t="s">
        <v>180</v>
      </c>
      <c r="J287" s="3"/>
      <c r="K287" s="3"/>
      <c r="L287" s="3"/>
      <c r="M287" s="3"/>
      <c r="N287" s="3"/>
      <c r="O287" s="3"/>
      <c r="P287" s="3"/>
      <c r="Q287" s="3"/>
      <c r="R287" s="3"/>
      <c r="S287" s="3"/>
      <c r="T287" s="3"/>
      <c r="U287" s="3"/>
      <c r="V287" s="3"/>
      <c r="W287" s="3"/>
      <c r="X287" s="3"/>
      <c r="Y287" s="3"/>
      <c r="Z287" s="3"/>
    </row>
    <row r="288" ht="27.0" customHeight="1">
      <c r="A288" s="3" t="s">
        <v>9</v>
      </c>
      <c r="B288" s="4" t="s">
        <v>581</v>
      </c>
      <c r="C288" s="1">
        <v>27.0</v>
      </c>
      <c r="D288" s="3" t="s">
        <v>644</v>
      </c>
      <c r="E288" s="3" t="s">
        <v>645</v>
      </c>
      <c r="F288" s="5" t="s">
        <v>646</v>
      </c>
      <c r="G288" s="3">
        <f t="array" ref="G288">SUMPRODUCT(--(TRIM($E$2:$E$421)=TRIM(E288)))</f>
        <v>1</v>
      </c>
      <c r="H288" s="3" t="s">
        <v>114</v>
      </c>
      <c r="I288" s="3" t="s">
        <v>264</v>
      </c>
      <c r="J288" s="3"/>
      <c r="K288" s="3"/>
      <c r="L288" s="3"/>
      <c r="M288" s="3"/>
      <c r="N288" s="3"/>
      <c r="O288" s="3"/>
      <c r="P288" s="3"/>
      <c r="Q288" s="3"/>
      <c r="R288" s="3"/>
      <c r="S288" s="3"/>
      <c r="T288" s="3"/>
      <c r="U288" s="3"/>
      <c r="V288" s="3"/>
      <c r="W288" s="3"/>
      <c r="X288" s="3"/>
      <c r="Y288" s="3"/>
      <c r="Z288" s="3"/>
    </row>
    <row r="289" ht="27.0" customHeight="1">
      <c r="A289" s="3" t="s">
        <v>9</v>
      </c>
      <c r="B289" s="4" t="s">
        <v>581</v>
      </c>
      <c r="C289" s="1">
        <v>28.0</v>
      </c>
      <c r="D289" s="3" t="s">
        <v>32</v>
      </c>
      <c r="E289" s="3" t="s">
        <v>647</v>
      </c>
      <c r="F289" s="5" t="s">
        <v>648</v>
      </c>
      <c r="G289" s="3">
        <f t="array" ref="G289">SUMPRODUCT(--(TRIM($E$2:$E$421)=TRIM(E289)))</f>
        <v>1</v>
      </c>
      <c r="H289" s="3" t="s">
        <v>276</v>
      </c>
      <c r="I289" s="3" t="s">
        <v>277</v>
      </c>
      <c r="J289" s="3"/>
      <c r="K289" s="3"/>
      <c r="L289" s="3"/>
      <c r="M289" s="3"/>
      <c r="N289" s="3"/>
      <c r="O289" s="3"/>
      <c r="P289" s="3"/>
      <c r="Q289" s="3"/>
      <c r="R289" s="3"/>
      <c r="S289" s="3"/>
      <c r="T289" s="3"/>
      <c r="U289" s="3"/>
      <c r="V289" s="3"/>
      <c r="W289" s="3"/>
      <c r="X289" s="3"/>
      <c r="Y289" s="3"/>
      <c r="Z289" s="3"/>
    </row>
    <row r="290" ht="27.0" customHeight="1">
      <c r="A290" s="3" t="s">
        <v>9</v>
      </c>
      <c r="B290" s="4" t="s">
        <v>581</v>
      </c>
      <c r="C290" s="1">
        <v>29.0</v>
      </c>
      <c r="D290" s="3" t="s">
        <v>32</v>
      </c>
      <c r="E290" s="3" t="s">
        <v>649</v>
      </c>
      <c r="F290" s="5" t="s">
        <v>650</v>
      </c>
      <c r="G290" s="3">
        <f t="array" ref="G290">SUMPRODUCT(--(TRIM($E$2:$E$421)=TRIM(E290)))</f>
        <v>1</v>
      </c>
      <c r="H290" s="3" t="s">
        <v>145</v>
      </c>
      <c r="I290" s="3" t="s">
        <v>146</v>
      </c>
      <c r="J290" s="3"/>
      <c r="K290" s="3"/>
      <c r="L290" s="3"/>
      <c r="M290" s="3"/>
      <c r="N290" s="3"/>
      <c r="O290" s="3"/>
      <c r="P290" s="3"/>
      <c r="Q290" s="3"/>
      <c r="R290" s="3"/>
      <c r="S290" s="3"/>
      <c r="T290" s="3"/>
      <c r="U290" s="3"/>
      <c r="V290" s="3"/>
      <c r="W290" s="3"/>
      <c r="X290" s="3"/>
      <c r="Y290" s="3"/>
      <c r="Z290" s="3"/>
    </row>
    <row r="291" ht="27.0" customHeight="1">
      <c r="A291" s="3" t="s">
        <v>9</v>
      </c>
      <c r="B291" s="4" t="s">
        <v>581</v>
      </c>
      <c r="C291" s="1">
        <v>30.0</v>
      </c>
      <c r="D291" s="3" t="s">
        <v>651</v>
      </c>
      <c r="E291" s="5" t="s">
        <v>325</v>
      </c>
      <c r="F291" s="5" t="s">
        <v>326</v>
      </c>
      <c r="G291" s="3">
        <f t="array" ref="G291">SUMPRODUCT(--(TRIM($E$2:$E$421)=TRIM(E291)))</f>
        <v>2</v>
      </c>
      <c r="H291" s="3" t="s">
        <v>22</v>
      </c>
      <c r="I291" s="3" t="s">
        <v>80</v>
      </c>
      <c r="J291" s="5"/>
      <c r="K291" s="3"/>
      <c r="L291" s="3"/>
      <c r="M291" s="3"/>
      <c r="N291" s="3"/>
      <c r="O291" s="3"/>
      <c r="P291" s="3"/>
      <c r="Q291" s="3"/>
      <c r="R291" s="3"/>
      <c r="S291" s="3"/>
      <c r="T291" s="3"/>
      <c r="U291" s="3"/>
      <c r="V291" s="3"/>
      <c r="W291" s="3"/>
      <c r="X291" s="3"/>
      <c r="Y291" s="3"/>
      <c r="Z291" s="3"/>
    </row>
    <row r="292" ht="27.0" customHeight="1">
      <c r="A292" s="3" t="s">
        <v>9</v>
      </c>
      <c r="B292" s="4" t="s">
        <v>581</v>
      </c>
      <c r="C292" s="1">
        <v>31.0</v>
      </c>
      <c r="D292" s="3" t="s">
        <v>652</v>
      </c>
      <c r="E292" s="3" t="s">
        <v>653</v>
      </c>
      <c r="F292" s="5" t="s">
        <v>654</v>
      </c>
      <c r="G292" s="3">
        <f t="array" ref="G292">SUMPRODUCT(--(TRIM($E$2:$E$421)=TRIM(E292)))</f>
        <v>1</v>
      </c>
      <c r="H292" s="3" t="s">
        <v>39</v>
      </c>
      <c r="I292" s="3" t="s">
        <v>40</v>
      </c>
      <c r="J292" s="3"/>
      <c r="K292" s="3"/>
      <c r="L292" s="3"/>
      <c r="M292" s="3"/>
      <c r="N292" s="3"/>
      <c r="O292" s="3"/>
      <c r="P292" s="3"/>
      <c r="Q292" s="3"/>
      <c r="R292" s="3"/>
      <c r="S292" s="3"/>
      <c r="T292" s="3"/>
      <c r="U292" s="3"/>
      <c r="V292" s="3"/>
      <c r="W292" s="3"/>
      <c r="X292" s="3"/>
      <c r="Y292" s="3"/>
      <c r="Z292" s="3"/>
    </row>
    <row r="293" ht="27.0" customHeight="1">
      <c r="A293" s="3" t="s">
        <v>9</v>
      </c>
      <c r="B293" s="4" t="s">
        <v>581</v>
      </c>
      <c r="C293" s="1">
        <v>32.0</v>
      </c>
      <c r="D293" s="3" t="s">
        <v>655</v>
      </c>
      <c r="E293" s="3" t="s">
        <v>656</v>
      </c>
      <c r="F293" s="5" t="s">
        <v>657</v>
      </c>
      <c r="G293" s="3">
        <f t="array" ref="G293">SUMPRODUCT(--(TRIM($E$2:$E$421)=TRIM(E293)))</f>
        <v>1</v>
      </c>
      <c r="H293" s="3" t="s">
        <v>44</v>
      </c>
      <c r="I293" s="3" t="s">
        <v>264</v>
      </c>
      <c r="J293" s="3"/>
      <c r="K293" s="3"/>
      <c r="L293" s="3"/>
      <c r="M293" s="3"/>
      <c r="N293" s="3"/>
      <c r="O293" s="3"/>
      <c r="P293" s="3"/>
      <c r="Q293" s="3"/>
      <c r="R293" s="3"/>
      <c r="S293" s="3"/>
      <c r="T293" s="3"/>
      <c r="U293" s="3"/>
      <c r="V293" s="3"/>
      <c r="W293" s="3"/>
      <c r="X293" s="3"/>
      <c r="Y293" s="3"/>
      <c r="Z293" s="3"/>
    </row>
    <row r="294" ht="27.0" customHeight="1">
      <c r="A294" s="3" t="s">
        <v>9</v>
      </c>
      <c r="B294" s="4" t="s">
        <v>581</v>
      </c>
      <c r="C294" s="1">
        <v>33.0</v>
      </c>
      <c r="D294" s="3" t="s">
        <v>658</v>
      </c>
      <c r="E294" s="3" t="s">
        <v>659</v>
      </c>
      <c r="F294" s="5" t="s">
        <v>660</v>
      </c>
      <c r="G294" s="3">
        <f t="array" ref="G294">SUMPRODUCT(--(TRIM($E$2:$E$421)=TRIM(E294)))</f>
        <v>1</v>
      </c>
      <c r="H294" s="3" t="s">
        <v>190</v>
      </c>
      <c r="I294" s="3" t="s">
        <v>245</v>
      </c>
      <c r="J294" s="3"/>
      <c r="K294" s="3"/>
      <c r="L294" s="3"/>
      <c r="M294" s="3"/>
      <c r="N294" s="3"/>
      <c r="O294" s="3"/>
      <c r="P294" s="3"/>
      <c r="Q294" s="3"/>
      <c r="R294" s="3"/>
      <c r="S294" s="3"/>
      <c r="T294" s="3"/>
      <c r="U294" s="3"/>
      <c r="V294" s="3"/>
      <c r="W294" s="3"/>
      <c r="X294" s="3"/>
      <c r="Y294" s="3"/>
      <c r="Z294" s="3"/>
    </row>
    <row r="295" ht="27.0" customHeight="1">
      <c r="A295" s="3" t="s">
        <v>9</v>
      </c>
      <c r="B295" s="4" t="s">
        <v>581</v>
      </c>
      <c r="C295" s="1">
        <v>34.0</v>
      </c>
      <c r="D295" s="3" t="s">
        <v>32</v>
      </c>
      <c r="E295" s="3" t="s">
        <v>661</v>
      </c>
      <c r="F295" s="5" t="s">
        <v>662</v>
      </c>
      <c r="G295" s="3">
        <f t="array" ref="G295">SUMPRODUCT(--(TRIM($E$2:$E$421)=TRIM(E295)))</f>
        <v>1</v>
      </c>
      <c r="H295" s="3" t="s">
        <v>190</v>
      </c>
      <c r="I295" s="3" t="s">
        <v>245</v>
      </c>
      <c r="J295" s="3"/>
      <c r="K295" s="3"/>
      <c r="L295" s="3"/>
      <c r="M295" s="3"/>
      <c r="N295" s="3"/>
      <c r="O295" s="3"/>
      <c r="P295" s="3"/>
      <c r="Q295" s="3"/>
      <c r="R295" s="3"/>
      <c r="S295" s="3"/>
      <c r="T295" s="3"/>
      <c r="U295" s="3"/>
      <c r="V295" s="3"/>
      <c r="W295" s="3"/>
      <c r="X295" s="3"/>
      <c r="Y295" s="3"/>
      <c r="Z295" s="3"/>
    </row>
    <row r="296" ht="27.0" customHeight="1">
      <c r="A296" s="3" t="s">
        <v>9</v>
      </c>
      <c r="B296" s="4" t="s">
        <v>581</v>
      </c>
      <c r="C296" s="1">
        <v>35.0</v>
      </c>
      <c r="D296" s="3" t="s">
        <v>663</v>
      </c>
      <c r="E296" s="3" t="s">
        <v>664</v>
      </c>
      <c r="F296" s="5" t="s">
        <v>665</v>
      </c>
      <c r="G296" s="3">
        <f t="array" ref="G296">SUMPRODUCT(--(TRIM($E$2:$E$421)=TRIM(E296)))</f>
        <v>1</v>
      </c>
      <c r="H296" s="3" t="s">
        <v>199</v>
      </c>
      <c r="I296" s="3" t="s">
        <v>264</v>
      </c>
      <c r="J296" s="3"/>
      <c r="K296" s="3"/>
      <c r="L296" s="3"/>
      <c r="M296" s="3"/>
      <c r="N296" s="3"/>
      <c r="O296" s="3"/>
      <c r="P296" s="3"/>
      <c r="Q296" s="3"/>
      <c r="R296" s="3"/>
      <c r="S296" s="3"/>
      <c r="T296" s="3"/>
      <c r="U296" s="3"/>
      <c r="V296" s="3"/>
      <c r="W296" s="3"/>
      <c r="X296" s="3"/>
      <c r="Y296" s="3"/>
      <c r="Z296" s="3"/>
    </row>
    <row r="297" ht="27.0" customHeight="1">
      <c r="A297" s="3" t="s">
        <v>9</v>
      </c>
      <c r="B297" s="4" t="s">
        <v>581</v>
      </c>
      <c r="C297" s="1">
        <v>36.0</v>
      </c>
      <c r="D297" s="3" t="s">
        <v>666</v>
      </c>
      <c r="E297" s="3" t="s">
        <v>667</v>
      </c>
      <c r="F297" s="5" t="s">
        <v>668</v>
      </c>
      <c r="G297" s="3">
        <f t="array" ref="G297">SUMPRODUCT(--(TRIM($E$2:$E$421)=TRIM(E297)))</f>
        <v>1</v>
      </c>
      <c r="H297" s="3" t="s">
        <v>14</v>
      </c>
      <c r="I297" s="3" t="s">
        <v>15</v>
      </c>
      <c r="J297" s="3"/>
      <c r="K297" s="3"/>
      <c r="L297" s="3"/>
      <c r="M297" s="3"/>
      <c r="N297" s="3"/>
      <c r="O297" s="3"/>
      <c r="P297" s="3"/>
      <c r="Q297" s="3"/>
      <c r="R297" s="3"/>
      <c r="S297" s="3"/>
      <c r="T297" s="3"/>
      <c r="U297" s="3"/>
      <c r="V297" s="3"/>
      <c r="W297" s="3"/>
      <c r="X297" s="3"/>
      <c r="Y297" s="3"/>
      <c r="Z297" s="3"/>
    </row>
    <row r="298" ht="27.0" customHeight="1">
      <c r="A298" s="3" t="s">
        <v>9</v>
      </c>
      <c r="B298" s="4" t="s">
        <v>581</v>
      </c>
      <c r="C298" s="1">
        <v>37.0</v>
      </c>
      <c r="D298" s="3" t="s">
        <v>32</v>
      </c>
      <c r="E298" s="3" t="s">
        <v>669</v>
      </c>
      <c r="F298" s="5" t="s">
        <v>670</v>
      </c>
      <c r="G298" s="3">
        <f t="array" ref="G298">SUMPRODUCT(--(TRIM($E$2:$E$421)=TRIM(E298)))</f>
        <v>1</v>
      </c>
      <c r="H298" s="3" t="s">
        <v>22</v>
      </c>
      <c r="I298" s="3" t="s">
        <v>80</v>
      </c>
      <c r="J298" s="3"/>
      <c r="K298" s="3"/>
      <c r="L298" s="3"/>
      <c r="M298" s="3"/>
      <c r="N298" s="3"/>
      <c r="O298" s="3"/>
      <c r="P298" s="3"/>
      <c r="Q298" s="3"/>
      <c r="R298" s="3"/>
      <c r="S298" s="3"/>
      <c r="T298" s="3"/>
      <c r="U298" s="3"/>
      <c r="V298" s="3"/>
      <c r="W298" s="3"/>
      <c r="X298" s="3"/>
      <c r="Y298" s="3"/>
      <c r="Z298" s="3"/>
    </row>
    <row r="299" ht="27.0" customHeight="1">
      <c r="A299" s="3" t="s">
        <v>9</v>
      </c>
      <c r="B299" s="4" t="s">
        <v>581</v>
      </c>
      <c r="C299" s="1">
        <v>38.0</v>
      </c>
      <c r="D299" s="3" t="s">
        <v>671</v>
      </c>
      <c r="E299" s="3" t="s">
        <v>672</v>
      </c>
      <c r="F299" s="5" t="s">
        <v>673</v>
      </c>
      <c r="G299" s="3">
        <f t="array" ref="G299">SUMPRODUCT(--(TRIM($E$2:$E$421)=TRIM(E299)))</f>
        <v>1</v>
      </c>
      <c r="H299" s="3" t="s">
        <v>44</v>
      </c>
      <c r="I299" s="3" t="s">
        <v>45</v>
      </c>
      <c r="J299" s="3"/>
      <c r="K299" s="3"/>
      <c r="L299" s="3"/>
      <c r="M299" s="3"/>
      <c r="N299" s="3"/>
      <c r="O299" s="3"/>
      <c r="P299" s="3"/>
      <c r="Q299" s="3"/>
      <c r="R299" s="3"/>
      <c r="S299" s="3"/>
      <c r="T299" s="3"/>
      <c r="U299" s="3"/>
      <c r="V299" s="3"/>
      <c r="W299" s="3"/>
      <c r="X299" s="3"/>
      <c r="Y299" s="3"/>
      <c r="Z299" s="3"/>
    </row>
    <row r="300" ht="27.0" customHeight="1">
      <c r="A300" s="3" t="s">
        <v>9</v>
      </c>
      <c r="B300" s="4" t="s">
        <v>581</v>
      </c>
      <c r="C300" s="1">
        <v>39.0</v>
      </c>
      <c r="D300" s="3" t="s">
        <v>674</v>
      </c>
      <c r="E300" s="3" t="s">
        <v>675</v>
      </c>
      <c r="F300" s="5" t="s">
        <v>676</v>
      </c>
      <c r="G300" s="3">
        <f t="array" ref="G300">SUMPRODUCT(--(TRIM($E$2:$E$421)=TRIM(E300)))</f>
        <v>1</v>
      </c>
      <c r="H300" s="3" t="s">
        <v>44</v>
      </c>
      <c r="I300" s="3" t="s">
        <v>45</v>
      </c>
      <c r="J300" s="3"/>
      <c r="K300" s="3"/>
      <c r="L300" s="3"/>
      <c r="M300" s="3"/>
      <c r="N300" s="3"/>
      <c r="O300" s="3"/>
      <c r="P300" s="3"/>
      <c r="Q300" s="3"/>
      <c r="R300" s="3"/>
      <c r="S300" s="3"/>
      <c r="T300" s="3"/>
      <c r="U300" s="3"/>
      <c r="V300" s="3"/>
      <c r="W300" s="3"/>
      <c r="X300" s="3"/>
      <c r="Y300" s="3"/>
      <c r="Z300" s="3"/>
    </row>
    <row r="301" ht="27.0" customHeight="1">
      <c r="A301" s="3" t="s">
        <v>9</v>
      </c>
      <c r="B301" s="4" t="s">
        <v>581</v>
      </c>
      <c r="C301" s="1">
        <v>40.0</v>
      </c>
      <c r="D301" s="3" t="s">
        <v>32</v>
      </c>
      <c r="E301" s="3" t="s">
        <v>677</v>
      </c>
      <c r="F301" s="5" t="s">
        <v>678</v>
      </c>
      <c r="G301" s="3">
        <f t="array" ref="G301">SUMPRODUCT(--(TRIM($E$2:$E$421)=TRIM(E301)))</f>
        <v>1</v>
      </c>
      <c r="H301" s="3" t="s">
        <v>170</v>
      </c>
      <c r="I301" s="3" t="s">
        <v>171</v>
      </c>
      <c r="J301" s="3"/>
      <c r="K301" s="3"/>
      <c r="L301" s="3"/>
      <c r="M301" s="3"/>
      <c r="N301" s="3"/>
      <c r="O301" s="3"/>
      <c r="P301" s="3"/>
      <c r="Q301" s="3"/>
      <c r="R301" s="3"/>
      <c r="S301" s="3"/>
      <c r="T301" s="3"/>
      <c r="U301" s="3"/>
      <c r="V301" s="3"/>
      <c r="W301" s="3"/>
      <c r="X301" s="3"/>
      <c r="Y301" s="3"/>
      <c r="Z301" s="3"/>
    </row>
    <row r="302" ht="27.0" customHeight="1">
      <c r="A302" s="3" t="s">
        <v>9</v>
      </c>
      <c r="B302" s="4" t="s">
        <v>679</v>
      </c>
      <c r="C302" s="1">
        <v>1.0</v>
      </c>
      <c r="D302" s="3" t="s">
        <v>680</v>
      </c>
      <c r="E302" s="3" t="s">
        <v>12</v>
      </c>
      <c r="F302" s="5" t="s">
        <v>681</v>
      </c>
      <c r="G302" s="3">
        <f t="array" ref="G302">SUMPRODUCT(--(TRIM($E$2:$E$421)=TRIM(E302)))</f>
        <v>5</v>
      </c>
      <c r="H302" s="3" t="s">
        <v>14</v>
      </c>
      <c r="I302" s="3" t="s">
        <v>15</v>
      </c>
      <c r="J302" s="3"/>
      <c r="K302" s="3"/>
      <c r="L302" s="3"/>
      <c r="M302" s="3"/>
      <c r="N302" s="3"/>
      <c r="O302" s="3"/>
      <c r="P302" s="3"/>
      <c r="Q302" s="3"/>
      <c r="R302" s="3"/>
      <c r="S302" s="3"/>
      <c r="T302" s="3"/>
      <c r="U302" s="3"/>
      <c r="V302" s="3"/>
      <c r="W302" s="3"/>
      <c r="X302" s="3"/>
      <c r="Y302" s="3"/>
      <c r="Z302" s="3"/>
    </row>
    <row r="303" ht="27.0" customHeight="1">
      <c r="A303" s="3" t="s">
        <v>9</v>
      </c>
      <c r="B303" s="4" t="s">
        <v>679</v>
      </c>
      <c r="C303" s="1">
        <v>2.0</v>
      </c>
      <c r="D303" s="3" t="s">
        <v>16</v>
      </c>
      <c r="E303" s="5" t="s">
        <v>17</v>
      </c>
      <c r="F303" s="5" t="s">
        <v>18</v>
      </c>
      <c r="G303" s="3">
        <f t="array" ref="G303">SUMPRODUCT(--(TRIM($E$2:$E$421)=TRIM(E303)))</f>
        <v>6</v>
      </c>
      <c r="H303" s="3" t="s">
        <v>14</v>
      </c>
      <c r="I303" s="3" t="s">
        <v>15</v>
      </c>
      <c r="J303" s="5"/>
      <c r="K303" s="3"/>
      <c r="L303" s="3"/>
      <c r="M303" s="3"/>
      <c r="N303" s="3"/>
      <c r="O303" s="3"/>
      <c r="P303" s="3"/>
      <c r="Q303" s="3"/>
      <c r="R303" s="3"/>
      <c r="S303" s="3"/>
      <c r="T303" s="3"/>
      <c r="U303" s="3"/>
      <c r="V303" s="3"/>
      <c r="W303" s="3"/>
      <c r="X303" s="3"/>
      <c r="Y303" s="3"/>
      <c r="Z303" s="3"/>
    </row>
    <row r="304" ht="27.0" customHeight="1">
      <c r="A304" s="3" t="s">
        <v>9</v>
      </c>
      <c r="B304" s="4" t="s">
        <v>679</v>
      </c>
      <c r="C304" s="1">
        <v>3.0</v>
      </c>
      <c r="D304" s="3" t="s">
        <v>19</v>
      </c>
      <c r="E304" s="5" t="s">
        <v>20</v>
      </c>
      <c r="F304" s="5" t="s">
        <v>21</v>
      </c>
      <c r="G304" s="3">
        <f t="array" ref="G304">SUMPRODUCT(--(TRIM($E$2:$E$421)=TRIM(E304)))</f>
        <v>3</v>
      </c>
      <c r="H304" s="3" t="s">
        <v>22</v>
      </c>
      <c r="I304" s="3" t="s">
        <v>23</v>
      </c>
      <c r="J304" s="3"/>
      <c r="K304" s="3"/>
      <c r="L304" s="3"/>
      <c r="M304" s="3"/>
      <c r="N304" s="3"/>
      <c r="O304" s="3"/>
      <c r="P304" s="3"/>
      <c r="Q304" s="3"/>
      <c r="R304" s="3"/>
      <c r="S304" s="3"/>
      <c r="T304" s="3"/>
      <c r="U304" s="3"/>
      <c r="V304" s="3"/>
      <c r="W304" s="3"/>
      <c r="X304" s="3"/>
      <c r="Y304" s="3"/>
      <c r="Z304" s="3"/>
    </row>
    <row r="305" ht="27.0" customHeight="1">
      <c r="A305" s="3" t="s">
        <v>9</v>
      </c>
      <c r="B305" s="4" t="s">
        <v>679</v>
      </c>
      <c r="C305" s="1">
        <v>4.0</v>
      </c>
      <c r="D305" s="3" t="s">
        <v>682</v>
      </c>
      <c r="E305" s="3" t="s">
        <v>683</v>
      </c>
      <c r="F305" s="5" t="s">
        <v>684</v>
      </c>
      <c r="G305" s="3">
        <f t="array" ref="G305">SUMPRODUCT(--(TRIM($E$2:$E$421)=TRIM(E305)))</f>
        <v>2</v>
      </c>
      <c r="H305" s="3" t="s">
        <v>27</v>
      </c>
      <c r="I305" s="3" t="s">
        <v>222</v>
      </c>
      <c r="J305" s="3"/>
      <c r="K305" s="3"/>
      <c r="L305" s="3"/>
      <c r="M305" s="3"/>
      <c r="N305" s="3"/>
      <c r="O305" s="3"/>
      <c r="P305" s="3"/>
      <c r="Q305" s="3"/>
      <c r="R305" s="3"/>
      <c r="S305" s="3"/>
      <c r="T305" s="3"/>
      <c r="U305" s="3"/>
      <c r="V305" s="3"/>
      <c r="W305" s="3"/>
      <c r="X305" s="3"/>
      <c r="Y305" s="3"/>
      <c r="Z305" s="3"/>
    </row>
    <row r="306" ht="27.0" customHeight="1">
      <c r="A306" s="3" t="s">
        <v>9</v>
      </c>
      <c r="B306" s="4" t="s">
        <v>679</v>
      </c>
      <c r="C306" s="1">
        <v>5.0</v>
      </c>
      <c r="D306" s="3" t="s">
        <v>32</v>
      </c>
      <c r="E306" s="3" t="s">
        <v>685</v>
      </c>
      <c r="F306" s="5" t="s">
        <v>686</v>
      </c>
      <c r="G306" s="3">
        <f t="array" ref="G306">SUMPRODUCT(--(TRIM($E$2:$E$421)=TRIM(E306)))</f>
        <v>2</v>
      </c>
      <c r="H306" s="3" t="s">
        <v>27</v>
      </c>
      <c r="I306" s="3" t="s">
        <v>222</v>
      </c>
      <c r="J306" s="3"/>
      <c r="K306" s="3"/>
      <c r="L306" s="3"/>
      <c r="M306" s="3"/>
      <c r="N306" s="3"/>
      <c r="O306" s="3"/>
      <c r="P306" s="3"/>
      <c r="Q306" s="3"/>
      <c r="R306" s="3"/>
      <c r="S306" s="3"/>
      <c r="T306" s="3"/>
      <c r="U306" s="3"/>
      <c r="V306" s="3"/>
      <c r="W306" s="3"/>
      <c r="X306" s="3"/>
      <c r="Y306" s="3"/>
      <c r="Z306" s="3"/>
    </row>
    <row r="307" ht="27.0" customHeight="1">
      <c r="A307" s="3" t="s">
        <v>9</v>
      </c>
      <c r="B307" s="4" t="s">
        <v>679</v>
      </c>
      <c r="C307" s="1">
        <v>6.0</v>
      </c>
      <c r="D307" s="3" t="s">
        <v>29</v>
      </c>
      <c r="E307" s="5" t="s">
        <v>30</v>
      </c>
      <c r="F307" s="5" t="s">
        <v>31</v>
      </c>
      <c r="G307" s="3">
        <f t="array" ref="G307">SUMPRODUCT(--(TRIM($E$2:$E$421)=TRIM(E307)))</f>
        <v>5</v>
      </c>
      <c r="H307" s="3" t="s">
        <v>27</v>
      </c>
      <c r="I307" s="3" t="s">
        <v>28</v>
      </c>
      <c r="J307" s="3"/>
      <c r="K307" s="3"/>
      <c r="L307" s="3"/>
      <c r="M307" s="3"/>
      <c r="N307" s="3"/>
      <c r="O307" s="3"/>
      <c r="P307" s="3"/>
      <c r="Q307" s="3"/>
      <c r="R307" s="3"/>
      <c r="S307" s="3"/>
      <c r="T307" s="3"/>
      <c r="U307" s="3"/>
      <c r="V307" s="3"/>
      <c r="W307" s="3"/>
      <c r="X307" s="3"/>
      <c r="Y307" s="3"/>
      <c r="Z307" s="3"/>
    </row>
    <row r="308" ht="27.0" customHeight="1">
      <c r="A308" s="3" t="s">
        <v>9</v>
      </c>
      <c r="B308" s="4" t="s">
        <v>679</v>
      </c>
      <c r="C308" s="1">
        <v>7.0</v>
      </c>
      <c r="D308" s="3" t="s">
        <v>187</v>
      </c>
      <c r="E308" s="5" t="s">
        <v>188</v>
      </c>
      <c r="F308" s="5" t="s">
        <v>189</v>
      </c>
      <c r="G308" s="3">
        <f t="array" ref="G308">SUMPRODUCT(--(TRIM($E$2:$E$421)=TRIM(E308)))</f>
        <v>3</v>
      </c>
      <c r="H308" s="3" t="s">
        <v>22</v>
      </c>
      <c r="I308" s="3" t="s">
        <v>28</v>
      </c>
      <c r="J308" s="3"/>
      <c r="K308" s="3"/>
      <c r="L308" s="3"/>
      <c r="M308" s="3"/>
      <c r="N308" s="3"/>
      <c r="O308" s="3"/>
      <c r="P308" s="3"/>
      <c r="Q308" s="3"/>
      <c r="R308" s="3"/>
      <c r="S308" s="3"/>
      <c r="T308" s="3"/>
      <c r="U308" s="3"/>
      <c r="V308" s="3"/>
      <c r="W308" s="3"/>
      <c r="X308" s="3"/>
      <c r="Y308" s="3"/>
      <c r="Z308" s="3"/>
    </row>
    <row r="309" ht="27.0" customHeight="1">
      <c r="A309" s="3" t="s">
        <v>9</v>
      </c>
      <c r="B309" s="4" t="s">
        <v>679</v>
      </c>
      <c r="C309" s="1">
        <v>8.0</v>
      </c>
      <c r="D309" s="3" t="s">
        <v>687</v>
      </c>
      <c r="E309" s="3" t="s">
        <v>688</v>
      </c>
      <c r="F309" s="5" t="s">
        <v>689</v>
      </c>
      <c r="G309" s="3">
        <f t="array" ref="G309">SUMPRODUCT(--(TRIM($E$2:$E$421)=TRIM(E309)))</f>
        <v>1</v>
      </c>
      <c r="H309" s="3" t="s">
        <v>141</v>
      </c>
      <c r="I309" s="3" t="s">
        <v>55</v>
      </c>
      <c r="J309" s="3"/>
      <c r="K309" s="3"/>
      <c r="L309" s="3"/>
      <c r="M309" s="3"/>
      <c r="N309" s="3"/>
      <c r="O309" s="3"/>
      <c r="P309" s="3"/>
      <c r="Q309" s="3"/>
      <c r="R309" s="3"/>
      <c r="S309" s="3"/>
      <c r="T309" s="3"/>
      <c r="U309" s="3"/>
      <c r="V309" s="3"/>
      <c r="W309" s="3"/>
      <c r="X309" s="3"/>
      <c r="Y309" s="3"/>
      <c r="Z309" s="3"/>
    </row>
    <row r="310" ht="27.0" customHeight="1">
      <c r="A310" s="3" t="s">
        <v>9</v>
      </c>
      <c r="B310" s="4" t="s">
        <v>679</v>
      </c>
      <c r="C310" s="1">
        <v>9.0</v>
      </c>
      <c r="D310" s="3" t="s">
        <v>32</v>
      </c>
      <c r="E310" s="5" t="s">
        <v>203</v>
      </c>
      <c r="F310" s="5" t="s">
        <v>204</v>
      </c>
      <c r="G310" s="3">
        <f t="array" ref="G310">SUMPRODUCT(--(TRIM($E$2:$E$421)=TRIM(E310)))</f>
        <v>3</v>
      </c>
      <c r="H310" s="3" t="s">
        <v>205</v>
      </c>
      <c r="I310" s="3" t="s">
        <v>206</v>
      </c>
      <c r="J310" s="5"/>
      <c r="K310" s="3"/>
      <c r="L310" s="3"/>
      <c r="M310" s="3"/>
      <c r="N310" s="3"/>
      <c r="O310" s="3"/>
      <c r="P310" s="3"/>
      <c r="Q310" s="3"/>
      <c r="R310" s="3"/>
      <c r="S310" s="3"/>
      <c r="T310" s="3"/>
      <c r="U310" s="3"/>
      <c r="V310" s="3"/>
      <c r="W310" s="3"/>
      <c r="X310" s="3"/>
      <c r="Y310" s="3"/>
      <c r="Z310" s="3"/>
    </row>
    <row r="311" ht="27.0" customHeight="1">
      <c r="A311" s="3" t="s">
        <v>9</v>
      </c>
      <c r="B311" s="4" t="s">
        <v>679</v>
      </c>
      <c r="C311" s="1">
        <v>10.0</v>
      </c>
      <c r="D311" s="3" t="s">
        <v>359</v>
      </c>
      <c r="E311" s="5" t="s">
        <v>108</v>
      </c>
      <c r="F311" s="5" t="s">
        <v>109</v>
      </c>
      <c r="G311" s="3">
        <f t="array" ref="G311">SUMPRODUCT(--(TRIM($E$2:$E$421)=TRIM(E311)))</f>
        <v>7</v>
      </c>
      <c r="H311" s="3" t="s">
        <v>14</v>
      </c>
      <c r="I311" s="3" t="s">
        <v>110</v>
      </c>
      <c r="J311" s="5"/>
      <c r="K311" s="3"/>
      <c r="L311" s="3"/>
      <c r="M311" s="3"/>
      <c r="N311" s="3"/>
      <c r="O311" s="3"/>
      <c r="P311" s="3"/>
      <c r="Q311" s="3"/>
      <c r="R311" s="3"/>
      <c r="S311" s="3"/>
      <c r="T311" s="3"/>
      <c r="U311" s="3"/>
      <c r="V311" s="3"/>
      <c r="W311" s="3"/>
      <c r="X311" s="3"/>
      <c r="Y311" s="3"/>
      <c r="Z311" s="3"/>
    </row>
    <row r="312" ht="27.0" customHeight="1">
      <c r="A312" s="3" t="s">
        <v>9</v>
      </c>
      <c r="B312" s="4" t="s">
        <v>679</v>
      </c>
      <c r="C312" s="1">
        <v>11.0</v>
      </c>
      <c r="D312" s="3" t="s">
        <v>32</v>
      </c>
      <c r="E312" s="3" t="s">
        <v>690</v>
      </c>
      <c r="F312" s="5" t="s">
        <v>691</v>
      </c>
      <c r="G312" s="3">
        <f t="array" ref="G312">SUMPRODUCT(--(TRIM($E$2:$E$421)=TRIM(E312)))</f>
        <v>1</v>
      </c>
      <c r="H312" s="3" t="s">
        <v>59</v>
      </c>
      <c r="I312" s="3" t="s">
        <v>60</v>
      </c>
      <c r="J312" s="3"/>
      <c r="K312" s="3"/>
      <c r="L312" s="3"/>
      <c r="M312" s="3"/>
      <c r="N312" s="3"/>
      <c r="O312" s="3"/>
      <c r="P312" s="3"/>
      <c r="Q312" s="3"/>
      <c r="R312" s="3"/>
      <c r="S312" s="3"/>
      <c r="T312" s="3"/>
      <c r="U312" s="3"/>
      <c r="V312" s="3"/>
      <c r="W312" s="3"/>
      <c r="X312" s="3"/>
      <c r="Y312" s="3"/>
      <c r="Z312" s="3"/>
    </row>
    <row r="313" ht="27.0" customHeight="1">
      <c r="A313" s="3" t="s">
        <v>9</v>
      </c>
      <c r="B313" s="4" t="s">
        <v>679</v>
      </c>
      <c r="C313" s="1">
        <v>12.0</v>
      </c>
      <c r="D313" s="3" t="s">
        <v>692</v>
      </c>
      <c r="E313" s="5" t="s">
        <v>42</v>
      </c>
      <c r="F313" s="5" t="s">
        <v>43</v>
      </c>
      <c r="G313" s="3">
        <f t="array" ref="G313">SUMPRODUCT(--(TRIM($E$2:$E$421)=TRIM(E313)))</f>
        <v>5</v>
      </c>
      <c r="H313" s="3" t="s">
        <v>44</v>
      </c>
      <c r="I313" s="3" t="s">
        <v>45</v>
      </c>
      <c r="J313" s="5"/>
      <c r="K313" s="3"/>
      <c r="L313" s="3"/>
      <c r="M313" s="3"/>
      <c r="N313" s="3"/>
      <c r="O313" s="3"/>
      <c r="P313" s="3"/>
      <c r="Q313" s="3"/>
      <c r="R313" s="3"/>
      <c r="S313" s="3"/>
      <c r="T313" s="3"/>
      <c r="U313" s="3"/>
      <c r="V313" s="3"/>
      <c r="W313" s="3"/>
      <c r="X313" s="3"/>
      <c r="Y313" s="3"/>
      <c r="Z313" s="3"/>
    </row>
    <row r="314" ht="27.0" customHeight="1">
      <c r="A314" s="3" t="s">
        <v>9</v>
      </c>
      <c r="B314" s="4" t="s">
        <v>679</v>
      </c>
      <c r="C314" s="1">
        <v>13.0</v>
      </c>
      <c r="D314" s="3" t="s">
        <v>693</v>
      </c>
      <c r="E314" s="3" t="s">
        <v>694</v>
      </c>
      <c r="F314" s="5" t="s">
        <v>695</v>
      </c>
      <c r="G314" s="3">
        <f t="array" ref="G314">SUMPRODUCT(--(TRIM($E$2:$E$421)=TRIM(E314)))</f>
        <v>2</v>
      </c>
      <c r="H314" s="3" t="s">
        <v>317</v>
      </c>
      <c r="I314" s="3" t="s">
        <v>137</v>
      </c>
      <c r="J314" s="3"/>
      <c r="K314" s="3"/>
      <c r="L314" s="3"/>
      <c r="M314" s="3"/>
      <c r="N314" s="3"/>
      <c r="O314" s="3"/>
      <c r="P314" s="3"/>
      <c r="Q314" s="3"/>
      <c r="R314" s="3"/>
      <c r="S314" s="3"/>
      <c r="T314" s="3"/>
      <c r="U314" s="3"/>
      <c r="V314" s="3"/>
      <c r="W314" s="3"/>
      <c r="X314" s="3"/>
      <c r="Y314" s="3"/>
      <c r="Z314" s="3"/>
    </row>
    <row r="315" ht="27.0" customHeight="1">
      <c r="A315" s="3" t="s">
        <v>9</v>
      </c>
      <c r="B315" s="4" t="s">
        <v>679</v>
      </c>
      <c r="C315" s="1">
        <v>14.0</v>
      </c>
      <c r="D315" s="3" t="s">
        <v>32</v>
      </c>
      <c r="E315" s="5" t="s">
        <v>75</v>
      </c>
      <c r="F315" s="5" t="s">
        <v>76</v>
      </c>
      <c r="G315" s="3">
        <f t="array" ref="G315">SUMPRODUCT(--(TRIM($E$2:$E$421)=TRIM(E315)))</f>
        <v>5</v>
      </c>
      <c r="H315" s="3" t="s">
        <v>39</v>
      </c>
      <c r="I315" s="3" t="s">
        <v>40</v>
      </c>
      <c r="J315" s="5"/>
      <c r="K315" s="3"/>
      <c r="L315" s="3"/>
      <c r="M315" s="3"/>
      <c r="N315" s="3"/>
      <c r="O315" s="3"/>
      <c r="P315" s="3"/>
      <c r="Q315" s="3"/>
      <c r="R315" s="3"/>
      <c r="S315" s="3"/>
      <c r="T315" s="3"/>
      <c r="U315" s="3"/>
      <c r="V315" s="3"/>
      <c r="W315" s="3"/>
      <c r="X315" s="3"/>
      <c r="Y315" s="3"/>
      <c r="Z315" s="3"/>
    </row>
    <row r="316" ht="27.0" customHeight="1">
      <c r="A316" s="3" t="s">
        <v>9</v>
      </c>
      <c r="B316" s="4" t="s">
        <v>679</v>
      </c>
      <c r="C316" s="1">
        <v>15.0</v>
      </c>
      <c r="D316" s="3" t="s">
        <v>696</v>
      </c>
      <c r="E316" s="5" t="s">
        <v>78</v>
      </c>
      <c r="F316" s="5" t="s">
        <v>79</v>
      </c>
      <c r="G316" s="3">
        <f t="array" ref="G316">SUMPRODUCT(--(TRIM($E$2:$E$421)=TRIM(E316)))</f>
        <v>5</v>
      </c>
      <c r="H316" s="3" t="s">
        <v>22</v>
      </c>
      <c r="I316" s="3" t="s">
        <v>80</v>
      </c>
      <c r="J316" s="5"/>
      <c r="K316" s="3"/>
      <c r="L316" s="3"/>
      <c r="M316" s="3"/>
      <c r="N316" s="3"/>
      <c r="O316" s="3"/>
      <c r="P316" s="3"/>
      <c r="Q316" s="3"/>
      <c r="R316" s="3"/>
      <c r="S316" s="3"/>
      <c r="T316" s="3"/>
      <c r="U316" s="3"/>
      <c r="V316" s="3"/>
      <c r="W316" s="3"/>
      <c r="X316" s="3"/>
      <c r="Y316" s="3"/>
      <c r="Z316" s="3"/>
    </row>
    <row r="317" ht="27.0" customHeight="1">
      <c r="A317" s="3" t="s">
        <v>9</v>
      </c>
      <c r="B317" s="4" t="s">
        <v>679</v>
      </c>
      <c r="C317" s="1">
        <v>16.0</v>
      </c>
      <c r="D317" s="3" t="s">
        <v>697</v>
      </c>
      <c r="E317" s="5" t="s">
        <v>271</v>
      </c>
      <c r="F317" s="5" t="s">
        <v>272</v>
      </c>
      <c r="G317" s="3">
        <f t="array" ref="G317">SUMPRODUCT(--(TRIM($E$2:$E$421)=TRIM(E317)))</f>
        <v>3</v>
      </c>
      <c r="H317" s="3" t="s">
        <v>35</v>
      </c>
      <c r="I317" s="3" t="s">
        <v>36</v>
      </c>
      <c r="J317" s="5"/>
      <c r="K317" s="3"/>
      <c r="L317" s="3"/>
      <c r="M317" s="3"/>
      <c r="N317" s="3"/>
      <c r="O317" s="3"/>
      <c r="P317" s="3"/>
      <c r="Q317" s="3"/>
      <c r="R317" s="3"/>
      <c r="S317" s="3"/>
      <c r="T317" s="3"/>
      <c r="U317" s="3"/>
      <c r="V317" s="3"/>
      <c r="W317" s="3"/>
      <c r="X317" s="3"/>
      <c r="Y317" s="3"/>
      <c r="Z317" s="3"/>
    </row>
    <row r="318" ht="27.0" customHeight="1">
      <c r="A318" s="3" t="s">
        <v>9</v>
      </c>
      <c r="B318" s="4" t="s">
        <v>679</v>
      </c>
      <c r="C318" s="1">
        <v>17.0</v>
      </c>
      <c r="D318" s="3" t="s">
        <v>698</v>
      </c>
      <c r="E318" s="5" t="s">
        <v>85</v>
      </c>
      <c r="F318" s="5" t="s">
        <v>86</v>
      </c>
      <c r="G318" s="3">
        <f t="array" ref="G318">SUMPRODUCT(--(TRIM($E$2:$E$421)=TRIM(E318)))</f>
        <v>5</v>
      </c>
      <c r="H318" s="3" t="s">
        <v>87</v>
      </c>
      <c r="I318" s="3" t="s">
        <v>88</v>
      </c>
      <c r="J318" s="5"/>
      <c r="K318" s="3"/>
      <c r="L318" s="3"/>
      <c r="M318" s="3"/>
      <c r="N318" s="3"/>
      <c r="O318" s="3"/>
      <c r="P318" s="3"/>
      <c r="Q318" s="3"/>
      <c r="R318" s="3"/>
      <c r="S318" s="3"/>
      <c r="T318" s="3"/>
      <c r="U318" s="3"/>
      <c r="V318" s="3"/>
      <c r="W318" s="3"/>
      <c r="X318" s="3"/>
      <c r="Y318" s="3"/>
      <c r="Z318" s="3"/>
    </row>
    <row r="319" ht="27.0" customHeight="1">
      <c r="A319" s="3" t="s">
        <v>9</v>
      </c>
      <c r="B319" s="4" t="s">
        <v>679</v>
      </c>
      <c r="C319" s="1">
        <v>18.0</v>
      </c>
      <c r="D319" s="3" t="s">
        <v>699</v>
      </c>
      <c r="E319" s="3" t="s">
        <v>700</v>
      </c>
      <c r="F319" s="5" t="s">
        <v>701</v>
      </c>
      <c r="G319" s="3">
        <f t="array" ref="G319">SUMPRODUCT(--(TRIM($E$2:$E$421)=TRIM(E319)))</f>
        <v>1</v>
      </c>
      <c r="H319" s="3" t="s">
        <v>73</v>
      </c>
      <c r="I319" s="3" t="s">
        <v>74</v>
      </c>
      <c r="J319" s="3"/>
      <c r="K319" s="3"/>
      <c r="L319" s="3"/>
      <c r="M319" s="3"/>
      <c r="N319" s="3"/>
      <c r="O319" s="3"/>
      <c r="P319" s="3"/>
      <c r="Q319" s="3"/>
      <c r="R319" s="3"/>
      <c r="S319" s="3"/>
      <c r="T319" s="3"/>
      <c r="U319" s="3"/>
      <c r="V319" s="3"/>
      <c r="W319" s="3"/>
      <c r="X319" s="3"/>
      <c r="Y319" s="3"/>
      <c r="Z319" s="3"/>
    </row>
    <row r="320" ht="27.0" customHeight="1">
      <c r="A320" s="3" t="s">
        <v>9</v>
      </c>
      <c r="B320" s="4" t="s">
        <v>679</v>
      </c>
      <c r="C320" s="1">
        <v>19.0</v>
      </c>
      <c r="D320" s="3" t="s">
        <v>32</v>
      </c>
      <c r="E320" s="3" t="s">
        <v>702</v>
      </c>
      <c r="F320" s="5" t="s">
        <v>703</v>
      </c>
      <c r="G320" s="3">
        <f t="array" ref="G320">SUMPRODUCT(--(TRIM($E$2:$E$421)=TRIM(E320)))</f>
        <v>1</v>
      </c>
      <c r="H320" s="3" t="s">
        <v>44</v>
      </c>
      <c r="I320" s="3" t="s">
        <v>45</v>
      </c>
      <c r="J320" s="3"/>
      <c r="K320" s="3"/>
      <c r="L320" s="3"/>
      <c r="M320" s="3"/>
      <c r="N320" s="3"/>
      <c r="O320" s="3"/>
      <c r="P320" s="3"/>
      <c r="Q320" s="3"/>
      <c r="R320" s="3"/>
      <c r="S320" s="3"/>
      <c r="T320" s="3"/>
      <c r="U320" s="3"/>
      <c r="V320" s="3"/>
      <c r="W320" s="3"/>
      <c r="X320" s="3"/>
      <c r="Y320" s="3"/>
      <c r="Z320" s="3"/>
    </row>
    <row r="321" ht="27.0" customHeight="1">
      <c r="A321" s="3" t="s">
        <v>9</v>
      </c>
      <c r="B321" s="4" t="s">
        <v>679</v>
      </c>
      <c r="C321" s="1">
        <v>20.0</v>
      </c>
      <c r="D321" s="3" t="s">
        <v>96</v>
      </c>
      <c r="E321" s="5" t="s">
        <v>97</v>
      </c>
      <c r="F321" s="5" t="s">
        <v>98</v>
      </c>
      <c r="G321" s="3">
        <f t="array" ref="G321">SUMPRODUCT(--(TRIM($E$2:$E$421)=TRIM(E321)))</f>
        <v>6</v>
      </c>
      <c r="H321" s="3" t="s">
        <v>39</v>
      </c>
      <c r="I321" s="3" t="s">
        <v>40</v>
      </c>
      <c r="J321" s="3"/>
      <c r="K321" s="3"/>
      <c r="L321" s="3"/>
      <c r="M321" s="3"/>
      <c r="N321" s="3"/>
      <c r="O321" s="3"/>
      <c r="P321" s="3"/>
      <c r="Q321" s="3"/>
      <c r="R321" s="3"/>
      <c r="S321" s="3"/>
      <c r="T321" s="3"/>
      <c r="U321" s="3"/>
      <c r="V321" s="3"/>
      <c r="W321" s="3"/>
      <c r="X321" s="3"/>
      <c r="Y321" s="3"/>
      <c r="Z321" s="3"/>
    </row>
    <row r="322" ht="27.0" customHeight="1">
      <c r="A322" s="3" t="s">
        <v>9</v>
      </c>
      <c r="B322" s="4" t="s">
        <v>679</v>
      </c>
      <c r="C322" s="1">
        <v>21.0</v>
      </c>
      <c r="D322" s="3" t="s">
        <v>704</v>
      </c>
      <c r="E322" s="3" t="s">
        <v>705</v>
      </c>
      <c r="F322" s="5" t="s">
        <v>706</v>
      </c>
      <c r="G322" s="3">
        <f t="array" ref="G322">SUMPRODUCT(--(TRIM($E$2:$E$421)=TRIM(E322)))</f>
        <v>1</v>
      </c>
      <c r="H322" s="3" t="s">
        <v>150</v>
      </c>
      <c r="I322" s="3" t="s">
        <v>352</v>
      </c>
      <c r="J322" s="3"/>
      <c r="K322" s="3"/>
      <c r="L322" s="3"/>
      <c r="M322" s="3"/>
      <c r="N322" s="3"/>
      <c r="O322" s="3"/>
      <c r="P322" s="3"/>
      <c r="Q322" s="3"/>
      <c r="R322" s="3"/>
      <c r="S322" s="3"/>
      <c r="T322" s="3"/>
      <c r="U322" s="3"/>
      <c r="V322" s="3"/>
      <c r="W322" s="3"/>
      <c r="X322" s="3"/>
      <c r="Y322" s="3"/>
      <c r="Z322" s="3"/>
    </row>
    <row r="323" ht="27.0" customHeight="1">
      <c r="A323" s="3" t="s">
        <v>9</v>
      </c>
      <c r="B323" s="4" t="s">
        <v>679</v>
      </c>
      <c r="C323" s="1">
        <v>22.0</v>
      </c>
      <c r="D323" s="3" t="s">
        <v>707</v>
      </c>
      <c r="E323" s="5" t="s">
        <v>253</v>
      </c>
      <c r="F323" s="5" t="s">
        <v>254</v>
      </c>
      <c r="G323" s="3">
        <f t="array" ref="G323">SUMPRODUCT(--(TRIM($E$2:$E$421)=TRIM(E323)))</f>
        <v>3</v>
      </c>
      <c r="H323" s="3" t="s">
        <v>35</v>
      </c>
      <c r="I323" s="3" t="s">
        <v>36</v>
      </c>
      <c r="J323" s="5"/>
      <c r="K323" s="3"/>
      <c r="L323" s="3"/>
      <c r="M323" s="3"/>
      <c r="N323" s="3"/>
      <c r="O323" s="3"/>
      <c r="P323" s="3"/>
      <c r="Q323" s="3"/>
      <c r="R323" s="3"/>
      <c r="S323" s="3"/>
      <c r="T323" s="3"/>
      <c r="U323" s="3"/>
      <c r="V323" s="3"/>
      <c r="W323" s="3"/>
      <c r="X323" s="3"/>
      <c r="Y323" s="3"/>
      <c r="Z323" s="3"/>
    </row>
    <row r="324" ht="27.0" customHeight="1">
      <c r="A324" s="3" t="s">
        <v>9</v>
      </c>
      <c r="B324" s="4" t="s">
        <v>679</v>
      </c>
      <c r="C324" s="1">
        <v>23.0</v>
      </c>
      <c r="D324" s="3" t="s">
        <v>708</v>
      </c>
      <c r="E324" s="5" t="s">
        <v>709</v>
      </c>
      <c r="F324" s="5" t="s">
        <v>710</v>
      </c>
      <c r="G324" s="3">
        <f t="array" ref="G324">SUMPRODUCT(--(TRIM($E$2:$E$421)=TRIM(E324)))</f>
        <v>1</v>
      </c>
      <c r="H324" s="3" t="s">
        <v>54</v>
      </c>
      <c r="I324" s="3" t="s">
        <v>55</v>
      </c>
      <c r="J324" s="5"/>
      <c r="K324" s="3"/>
      <c r="L324" s="3"/>
      <c r="M324" s="3"/>
      <c r="N324" s="3"/>
      <c r="O324" s="3"/>
      <c r="P324" s="3"/>
      <c r="Q324" s="3"/>
      <c r="R324" s="3"/>
      <c r="S324" s="3"/>
      <c r="T324" s="3"/>
      <c r="U324" s="3"/>
      <c r="V324" s="3"/>
      <c r="W324" s="3"/>
      <c r="X324" s="3"/>
      <c r="Y324" s="3"/>
      <c r="Z324" s="3"/>
    </row>
    <row r="325" ht="27.0" customHeight="1">
      <c r="A325" s="3" t="s">
        <v>9</v>
      </c>
      <c r="B325" s="4" t="s">
        <v>679</v>
      </c>
      <c r="C325" s="1">
        <v>24.0</v>
      </c>
      <c r="D325" s="3" t="s">
        <v>46</v>
      </c>
      <c r="E325" s="5" t="s">
        <v>47</v>
      </c>
      <c r="F325" s="5" t="s">
        <v>48</v>
      </c>
      <c r="G325" s="3">
        <f t="array" ref="G325">SUMPRODUCT(--(TRIM($E$2:$E$421)=TRIM(E325)))</f>
        <v>6</v>
      </c>
      <c r="H325" s="3" t="s">
        <v>49</v>
      </c>
      <c r="I325" s="3" t="s">
        <v>50</v>
      </c>
      <c r="J325" s="5"/>
      <c r="K325" s="3"/>
      <c r="L325" s="3"/>
      <c r="M325" s="3"/>
      <c r="N325" s="3"/>
      <c r="O325" s="3"/>
      <c r="P325" s="3"/>
      <c r="Q325" s="3"/>
      <c r="R325" s="3"/>
      <c r="S325" s="3"/>
      <c r="T325" s="3"/>
      <c r="U325" s="3"/>
      <c r="V325" s="3"/>
      <c r="W325" s="3"/>
      <c r="X325" s="3"/>
      <c r="Y325" s="3"/>
      <c r="Z325" s="3"/>
    </row>
    <row r="326" ht="27.0" customHeight="1">
      <c r="A326" s="3" t="s">
        <v>9</v>
      </c>
      <c r="B326" s="4" t="s">
        <v>679</v>
      </c>
      <c r="C326" s="1">
        <v>25.0</v>
      </c>
      <c r="D326" s="3" t="s">
        <v>711</v>
      </c>
      <c r="E326" s="3" t="s">
        <v>520</v>
      </c>
      <c r="F326" s="5" t="s">
        <v>521</v>
      </c>
      <c r="G326" s="3">
        <f t="array" ref="G326">SUMPRODUCT(--(TRIM($E$2:$E$421)=TRIM(E326)))</f>
        <v>2</v>
      </c>
      <c r="H326" s="3" t="s">
        <v>14</v>
      </c>
      <c r="I326" s="3" t="s">
        <v>180</v>
      </c>
      <c r="J326" s="3"/>
      <c r="K326" s="3"/>
      <c r="L326" s="3"/>
      <c r="M326" s="3"/>
      <c r="N326" s="3"/>
      <c r="O326" s="3"/>
      <c r="P326" s="3"/>
      <c r="Q326" s="3"/>
      <c r="R326" s="3"/>
      <c r="S326" s="3"/>
      <c r="T326" s="3"/>
      <c r="U326" s="3"/>
      <c r="V326" s="3"/>
      <c r="W326" s="3"/>
      <c r="X326" s="3"/>
      <c r="Y326" s="3"/>
      <c r="Z326" s="3"/>
    </row>
    <row r="327" ht="27.0" customHeight="1">
      <c r="A327" s="3" t="s">
        <v>9</v>
      </c>
      <c r="B327" s="4" t="s">
        <v>679</v>
      </c>
      <c r="C327" s="1">
        <v>26.0</v>
      </c>
      <c r="D327" s="3" t="s">
        <v>228</v>
      </c>
      <c r="E327" s="3" t="s">
        <v>229</v>
      </c>
      <c r="F327" s="3" t="s">
        <v>229</v>
      </c>
      <c r="G327" s="3">
        <f t="array" ref="G327">SUMPRODUCT(--(TRIM($E$2:$E$421)=TRIM(E327)))</f>
        <v>4</v>
      </c>
      <c r="H327" s="3" t="s">
        <v>170</v>
      </c>
      <c r="I327" s="3" t="s">
        <v>171</v>
      </c>
      <c r="J327" s="3"/>
      <c r="K327" s="3"/>
      <c r="L327" s="3"/>
      <c r="M327" s="3"/>
      <c r="N327" s="3"/>
      <c r="O327" s="3"/>
      <c r="P327" s="3"/>
      <c r="Q327" s="3"/>
      <c r="R327" s="3"/>
      <c r="S327" s="3"/>
      <c r="T327" s="3"/>
      <c r="U327" s="3"/>
      <c r="V327" s="3"/>
      <c r="W327" s="3"/>
      <c r="X327" s="3"/>
      <c r="Y327" s="3"/>
      <c r="Z327" s="3"/>
    </row>
    <row r="328" ht="27.0" customHeight="1">
      <c r="A328" s="3" t="s">
        <v>9</v>
      </c>
      <c r="B328" s="4" t="s">
        <v>679</v>
      </c>
      <c r="C328" s="1">
        <v>27.0</v>
      </c>
      <c r="D328" s="3" t="s">
        <v>712</v>
      </c>
      <c r="E328" s="3" t="s">
        <v>139</v>
      </c>
      <c r="F328" s="5" t="s">
        <v>713</v>
      </c>
      <c r="G328" s="3">
        <f t="array" ref="G328">SUMPRODUCT(--(TRIM($E$2:$E$421)=TRIM(E328)))</f>
        <v>3</v>
      </c>
      <c r="H328" s="3" t="s">
        <v>141</v>
      </c>
      <c r="I328" s="3" t="s">
        <v>55</v>
      </c>
      <c r="J328" s="3"/>
      <c r="K328" s="3"/>
      <c r="L328" s="3"/>
      <c r="M328" s="3"/>
      <c r="N328" s="3"/>
      <c r="O328" s="3"/>
      <c r="P328" s="3"/>
      <c r="Q328" s="3"/>
      <c r="R328" s="3"/>
      <c r="S328" s="3"/>
      <c r="T328" s="3"/>
      <c r="U328" s="3"/>
      <c r="V328" s="3"/>
      <c r="W328" s="3"/>
      <c r="X328" s="3"/>
      <c r="Y328" s="3"/>
      <c r="Z328" s="3"/>
    </row>
    <row r="329" ht="27.0" customHeight="1">
      <c r="A329" s="3" t="s">
        <v>9</v>
      </c>
      <c r="B329" s="4" t="s">
        <v>679</v>
      </c>
      <c r="C329" s="1">
        <v>28.0</v>
      </c>
      <c r="D329" s="3" t="s">
        <v>714</v>
      </c>
      <c r="E329" s="5" t="s">
        <v>220</v>
      </c>
      <c r="F329" s="5" t="s">
        <v>221</v>
      </c>
      <c r="G329" s="3">
        <f t="array" ref="G329">SUMPRODUCT(--(TRIM($E$2:$E$421)=TRIM(E329)))</f>
        <v>4</v>
      </c>
      <c r="H329" s="3" t="s">
        <v>27</v>
      </c>
      <c r="I329" s="3" t="s">
        <v>222</v>
      </c>
      <c r="J329" s="5"/>
      <c r="K329" s="3"/>
      <c r="L329" s="3"/>
      <c r="M329" s="3"/>
      <c r="N329" s="3"/>
      <c r="O329" s="3"/>
      <c r="P329" s="3"/>
      <c r="Q329" s="3"/>
      <c r="R329" s="3"/>
      <c r="S329" s="3"/>
      <c r="T329" s="3"/>
      <c r="U329" s="3"/>
      <c r="V329" s="3"/>
      <c r="W329" s="3"/>
      <c r="X329" s="3"/>
      <c r="Y329" s="3"/>
      <c r="Z329" s="3"/>
    </row>
    <row r="330" ht="27.0" customHeight="1">
      <c r="A330" s="3" t="s">
        <v>9</v>
      </c>
      <c r="B330" s="4" t="s">
        <v>679</v>
      </c>
      <c r="C330" s="1">
        <v>29.0</v>
      </c>
      <c r="D330" s="3" t="s">
        <v>32</v>
      </c>
      <c r="E330" s="3" t="s">
        <v>715</v>
      </c>
      <c r="F330" s="5" t="s">
        <v>716</v>
      </c>
      <c r="G330" s="3">
        <f t="array" ref="G330">SUMPRODUCT(--(TRIM($E$2:$E$421)=TRIM(E330)))</f>
        <v>1</v>
      </c>
      <c r="H330" s="3" t="s">
        <v>150</v>
      </c>
      <c r="I330" s="3" t="s">
        <v>352</v>
      </c>
      <c r="J330" s="3"/>
      <c r="K330" s="3"/>
      <c r="L330" s="3"/>
      <c r="M330" s="3"/>
      <c r="N330" s="3"/>
      <c r="O330" s="3"/>
      <c r="P330" s="3"/>
      <c r="Q330" s="3"/>
      <c r="R330" s="3"/>
      <c r="S330" s="3"/>
      <c r="T330" s="3"/>
      <c r="U330" s="3"/>
      <c r="V330" s="3"/>
      <c r="W330" s="3"/>
      <c r="X330" s="3"/>
      <c r="Y330" s="3"/>
      <c r="Z330" s="3"/>
    </row>
    <row r="331" ht="27.0" customHeight="1">
      <c r="A331" s="3" t="s">
        <v>9</v>
      </c>
      <c r="B331" s="4" t="s">
        <v>679</v>
      </c>
      <c r="C331" s="1">
        <v>30.0</v>
      </c>
      <c r="D331" s="3" t="s">
        <v>32</v>
      </c>
      <c r="E331" s="3" t="s">
        <v>717</v>
      </c>
      <c r="F331" s="5" t="s">
        <v>718</v>
      </c>
      <c r="G331" s="3">
        <f t="array" ref="G331">SUMPRODUCT(--(TRIM($E$2:$E$421)=TRIM(E331)))</f>
        <v>1</v>
      </c>
      <c r="H331" s="3" t="s">
        <v>150</v>
      </c>
      <c r="I331" s="3" t="s">
        <v>137</v>
      </c>
      <c r="J331" s="3"/>
      <c r="K331" s="3"/>
      <c r="L331" s="3"/>
      <c r="M331" s="3"/>
      <c r="N331" s="3"/>
      <c r="O331" s="3"/>
      <c r="P331" s="3"/>
      <c r="Q331" s="3"/>
      <c r="R331" s="3"/>
      <c r="S331" s="3"/>
      <c r="T331" s="3"/>
      <c r="U331" s="3"/>
      <c r="V331" s="3"/>
      <c r="W331" s="3"/>
      <c r="X331" s="3"/>
      <c r="Y331" s="3"/>
      <c r="Z331" s="3"/>
    </row>
    <row r="332" ht="27.0" customHeight="1">
      <c r="A332" s="3" t="s">
        <v>9</v>
      </c>
      <c r="B332" s="4" t="s">
        <v>679</v>
      </c>
      <c r="C332" s="1">
        <v>31.0</v>
      </c>
      <c r="D332" s="3" t="s">
        <v>32</v>
      </c>
      <c r="E332" s="3" t="s">
        <v>719</v>
      </c>
      <c r="F332" s="5" t="s">
        <v>720</v>
      </c>
      <c r="G332" s="3">
        <f t="array" ref="G332">SUMPRODUCT(--(TRIM($E$2:$E$421)=TRIM(E332)))</f>
        <v>2</v>
      </c>
      <c r="H332" s="3" t="s">
        <v>105</v>
      </c>
      <c r="I332" s="3" t="s">
        <v>106</v>
      </c>
      <c r="J332" s="3"/>
      <c r="K332" s="3"/>
      <c r="L332" s="3"/>
      <c r="M332" s="3"/>
      <c r="N332" s="3"/>
      <c r="O332" s="3"/>
      <c r="P332" s="3"/>
      <c r="Q332" s="3"/>
      <c r="R332" s="3"/>
      <c r="S332" s="3"/>
      <c r="T332" s="3"/>
      <c r="U332" s="3"/>
      <c r="V332" s="3"/>
      <c r="W332" s="3"/>
      <c r="X332" s="3"/>
      <c r="Y332" s="3"/>
      <c r="Z332" s="3"/>
    </row>
    <row r="333" ht="27.0" customHeight="1">
      <c r="A333" s="3" t="s">
        <v>9</v>
      </c>
      <c r="B333" s="4" t="s">
        <v>679</v>
      </c>
      <c r="C333" s="1">
        <v>32.0</v>
      </c>
      <c r="D333" s="3" t="s">
        <v>142</v>
      </c>
      <c r="E333" s="5" t="s">
        <v>143</v>
      </c>
      <c r="F333" s="5" t="s">
        <v>144</v>
      </c>
      <c r="G333" s="3">
        <f t="array" ref="G333">SUMPRODUCT(--(TRIM($E$2:$E$421)=TRIM(E333)))</f>
        <v>6</v>
      </c>
      <c r="H333" s="3" t="s">
        <v>145</v>
      </c>
      <c r="I333" s="3" t="s">
        <v>146</v>
      </c>
      <c r="J333" s="5"/>
      <c r="K333" s="3"/>
      <c r="L333" s="3"/>
      <c r="M333" s="3"/>
      <c r="N333" s="3"/>
      <c r="O333" s="3"/>
      <c r="P333" s="3"/>
      <c r="Q333" s="3"/>
      <c r="R333" s="3"/>
      <c r="S333" s="3"/>
      <c r="T333" s="3"/>
      <c r="U333" s="3"/>
      <c r="V333" s="3"/>
      <c r="W333" s="3"/>
      <c r="X333" s="3"/>
      <c r="Y333" s="3"/>
      <c r="Z333" s="3"/>
    </row>
    <row r="334" ht="27.0" customHeight="1">
      <c r="A334" s="3" t="s">
        <v>9</v>
      </c>
      <c r="B334" s="4" t="s">
        <v>679</v>
      </c>
      <c r="C334" s="1">
        <v>33.0</v>
      </c>
      <c r="D334" s="3" t="s">
        <v>32</v>
      </c>
      <c r="E334" s="3" t="s">
        <v>721</v>
      </c>
      <c r="F334" s="5" t="s">
        <v>722</v>
      </c>
      <c r="G334" s="3">
        <f t="array" ref="G334">SUMPRODUCT(--(TRIM($E$2:$E$421)=TRIM(E334)))</f>
        <v>1</v>
      </c>
      <c r="H334" s="3" t="s">
        <v>64</v>
      </c>
      <c r="I334" s="3" t="s">
        <v>176</v>
      </c>
      <c r="J334" s="3"/>
      <c r="K334" s="3"/>
      <c r="L334" s="3"/>
      <c r="M334" s="3"/>
      <c r="N334" s="3"/>
      <c r="O334" s="3"/>
      <c r="P334" s="3"/>
      <c r="Q334" s="3"/>
      <c r="R334" s="3"/>
      <c r="S334" s="3"/>
      <c r="T334" s="3"/>
      <c r="U334" s="3"/>
      <c r="V334" s="3"/>
      <c r="W334" s="3"/>
      <c r="X334" s="3"/>
      <c r="Y334" s="3"/>
      <c r="Z334" s="3"/>
    </row>
    <row r="335" ht="27.0" customHeight="1">
      <c r="A335" s="3" t="s">
        <v>9</v>
      </c>
      <c r="B335" s="4" t="s">
        <v>679</v>
      </c>
      <c r="C335" s="1">
        <v>34.0</v>
      </c>
      <c r="D335" s="3" t="s">
        <v>723</v>
      </c>
      <c r="E335" s="5" t="s">
        <v>153</v>
      </c>
      <c r="F335" s="5" t="s">
        <v>154</v>
      </c>
      <c r="G335" s="3">
        <f t="array" ref="G335">SUMPRODUCT(--(TRIM($E$2:$E$421)=TRIM(E335)))</f>
        <v>5</v>
      </c>
      <c r="H335" s="3" t="s">
        <v>44</v>
      </c>
      <c r="I335" s="3" t="s">
        <v>45</v>
      </c>
      <c r="J335" s="5"/>
      <c r="K335" s="3"/>
      <c r="L335" s="3"/>
      <c r="M335" s="3"/>
      <c r="N335" s="3"/>
      <c r="O335" s="3"/>
      <c r="P335" s="3"/>
      <c r="Q335" s="3"/>
      <c r="R335" s="3"/>
      <c r="S335" s="3"/>
      <c r="T335" s="3"/>
      <c r="U335" s="3"/>
      <c r="V335" s="3"/>
      <c r="W335" s="3"/>
      <c r="X335" s="3"/>
      <c r="Y335" s="3"/>
      <c r="Z335" s="3"/>
    </row>
    <row r="336" ht="27.0" customHeight="1">
      <c r="A336" s="3" t="s">
        <v>9</v>
      </c>
      <c r="B336" s="4" t="s">
        <v>679</v>
      </c>
      <c r="C336" s="1">
        <v>35.0</v>
      </c>
      <c r="D336" s="3" t="s">
        <v>32</v>
      </c>
      <c r="E336" s="3" t="s">
        <v>724</v>
      </c>
      <c r="F336" s="5" t="s">
        <v>725</v>
      </c>
      <c r="G336" s="3">
        <f t="array" ref="G336">SUMPRODUCT(--(TRIM($E$2:$E$421)=TRIM(E336)))</f>
        <v>2</v>
      </c>
      <c r="H336" s="3" t="s">
        <v>301</v>
      </c>
      <c r="I336" s="3" t="s">
        <v>302</v>
      </c>
      <c r="J336" s="3"/>
      <c r="K336" s="3"/>
      <c r="L336" s="3"/>
      <c r="M336" s="3"/>
      <c r="N336" s="3"/>
      <c r="O336" s="3"/>
      <c r="P336" s="3"/>
      <c r="Q336" s="3"/>
      <c r="R336" s="3"/>
      <c r="S336" s="3"/>
      <c r="T336" s="3"/>
      <c r="U336" s="3"/>
      <c r="V336" s="3"/>
      <c r="W336" s="3"/>
      <c r="X336" s="3"/>
      <c r="Y336" s="3"/>
      <c r="Z336" s="3"/>
    </row>
    <row r="337" ht="27.0" customHeight="1">
      <c r="A337" s="3" t="s">
        <v>9</v>
      </c>
      <c r="B337" s="4" t="s">
        <v>679</v>
      </c>
      <c r="C337" s="1">
        <v>36.0</v>
      </c>
      <c r="D337" s="3" t="s">
        <v>726</v>
      </c>
      <c r="E337" s="5" t="s">
        <v>158</v>
      </c>
      <c r="F337" s="5" t="s">
        <v>159</v>
      </c>
      <c r="G337" s="3">
        <f t="array" ref="G337">SUMPRODUCT(--(TRIM($E$2:$E$421)=TRIM(E337)))</f>
        <v>5</v>
      </c>
      <c r="H337" s="3" t="s">
        <v>54</v>
      </c>
      <c r="I337" s="3" t="s">
        <v>55</v>
      </c>
      <c r="J337" s="5"/>
      <c r="K337" s="3"/>
      <c r="L337" s="3"/>
      <c r="M337" s="3"/>
      <c r="N337" s="3"/>
      <c r="O337" s="3"/>
      <c r="P337" s="3"/>
      <c r="Q337" s="3"/>
      <c r="R337" s="3"/>
      <c r="S337" s="3"/>
      <c r="T337" s="3"/>
      <c r="U337" s="3"/>
      <c r="V337" s="3"/>
      <c r="W337" s="3"/>
      <c r="X337" s="3"/>
      <c r="Y337" s="3"/>
      <c r="Z337" s="3"/>
    </row>
    <row r="338" ht="27.0" customHeight="1">
      <c r="A338" s="3" t="s">
        <v>9</v>
      </c>
      <c r="B338" s="4" t="s">
        <v>679</v>
      </c>
      <c r="C338" s="1">
        <v>37.0</v>
      </c>
      <c r="D338" s="3" t="s">
        <v>727</v>
      </c>
      <c r="E338" s="5" t="s">
        <v>247</v>
      </c>
      <c r="F338" s="5" t="s">
        <v>248</v>
      </c>
      <c r="G338" s="3">
        <f t="array" ref="G338">SUMPRODUCT(--(TRIM($E$2:$E$421)=TRIM(E338)))</f>
        <v>4</v>
      </c>
      <c r="H338" s="3" t="s">
        <v>87</v>
      </c>
      <c r="I338" s="3" t="s">
        <v>88</v>
      </c>
      <c r="J338" s="5"/>
      <c r="K338" s="3"/>
      <c r="L338" s="3"/>
      <c r="M338" s="3"/>
      <c r="N338" s="3"/>
      <c r="O338" s="3"/>
      <c r="P338" s="3"/>
      <c r="Q338" s="3"/>
      <c r="R338" s="3"/>
      <c r="S338" s="3"/>
      <c r="T338" s="3"/>
      <c r="U338" s="3"/>
      <c r="V338" s="3"/>
      <c r="W338" s="3"/>
      <c r="X338" s="3"/>
      <c r="Y338" s="3"/>
      <c r="Z338" s="3"/>
    </row>
    <row r="339" ht="27.0" customHeight="1">
      <c r="A339" s="3" t="s">
        <v>9</v>
      </c>
      <c r="B339" s="4" t="s">
        <v>679</v>
      </c>
      <c r="C339" s="1">
        <v>38.0</v>
      </c>
      <c r="D339" s="3" t="s">
        <v>32</v>
      </c>
      <c r="E339" s="3" t="s">
        <v>310</v>
      </c>
      <c r="F339" s="5" t="s">
        <v>728</v>
      </c>
      <c r="G339" s="3">
        <f t="array" ref="G339">SUMPRODUCT(--(TRIM($E$2:$E$421)=TRIM(E339)))</f>
        <v>3</v>
      </c>
      <c r="H339" s="3" t="s">
        <v>285</v>
      </c>
      <c r="I339" s="3" t="s">
        <v>60</v>
      </c>
      <c r="J339" s="3"/>
      <c r="K339" s="3"/>
      <c r="L339" s="3"/>
      <c r="M339" s="3"/>
      <c r="N339" s="3"/>
      <c r="O339" s="3"/>
      <c r="P339" s="3"/>
      <c r="Q339" s="3"/>
      <c r="R339" s="3"/>
      <c r="S339" s="3"/>
      <c r="T339" s="3"/>
      <c r="U339" s="3"/>
      <c r="V339" s="3"/>
      <c r="W339" s="3"/>
      <c r="X339" s="3"/>
      <c r="Y339" s="3"/>
      <c r="Z339" s="3"/>
    </row>
    <row r="340" ht="27.0" customHeight="1">
      <c r="A340" s="3" t="s">
        <v>9</v>
      </c>
      <c r="B340" s="4" t="s">
        <v>679</v>
      </c>
      <c r="C340" s="1">
        <v>39.0</v>
      </c>
      <c r="D340" s="3" t="s">
        <v>729</v>
      </c>
      <c r="E340" s="3" t="s">
        <v>730</v>
      </c>
      <c r="F340" s="5" t="s">
        <v>731</v>
      </c>
      <c r="G340" s="3">
        <f t="array" ref="G340">SUMPRODUCT(--(TRIM($E$2:$E$421)=TRIM(E340)))</f>
        <v>2</v>
      </c>
      <c r="H340" s="3" t="s">
        <v>44</v>
      </c>
      <c r="I340" s="3" t="s">
        <v>45</v>
      </c>
      <c r="J340" s="3"/>
      <c r="K340" s="3"/>
      <c r="L340" s="3"/>
      <c r="M340" s="3"/>
      <c r="N340" s="3"/>
      <c r="O340" s="3"/>
      <c r="P340" s="3"/>
      <c r="Q340" s="3"/>
      <c r="R340" s="3"/>
      <c r="S340" s="3"/>
      <c r="T340" s="3"/>
      <c r="U340" s="3"/>
      <c r="V340" s="3"/>
      <c r="W340" s="3"/>
      <c r="X340" s="3"/>
      <c r="Y340" s="3"/>
      <c r="Z340" s="3"/>
    </row>
    <row r="341" ht="27.0" customHeight="1">
      <c r="A341" s="3" t="s">
        <v>9</v>
      </c>
      <c r="B341" s="4" t="s">
        <v>679</v>
      </c>
      <c r="C341" s="1">
        <v>40.0</v>
      </c>
      <c r="D341" s="3" t="s">
        <v>249</v>
      </c>
      <c r="E341" s="5" t="s">
        <v>250</v>
      </c>
      <c r="F341" s="5" t="s">
        <v>251</v>
      </c>
      <c r="G341" s="3">
        <f t="array" ref="G341">SUMPRODUCT(--(TRIM($E$2:$E$421)=TRIM(E341)))</f>
        <v>5</v>
      </c>
      <c r="H341" s="3" t="s">
        <v>214</v>
      </c>
      <c r="I341" s="3" t="s">
        <v>215</v>
      </c>
      <c r="J341" s="5"/>
      <c r="K341" s="3"/>
      <c r="L341" s="3"/>
      <c r="M341" s="3"/>
      <c r="N341" s="3"/>
      <c r="O341" s="3"/>
      <c r="P341" s="3"/>
      <c r="Q341" s="3"/>
      <c r="R341" s="3"/>
      <c r="S341" s="3"/>
      <c r="T341" s="3"/>
      <c r="U341" s="3"/>
      <c r="V341" s="3"/>
      <c r="W341" s="3"/>
      <c r="X341" s="3"/>
      <c r="Y341" s="3"/>
      <c r="Z341" s="3"/>
    </row>
    <row r="342" ht="27.0" customHeight="1">
      <c r="A342" s="3" t="s">
        <v>9</v>
      </c>
      <c r="B342" s="4" t="s">
        <v>732</v>
      </c>
      <c r="C342" s="1">
        <v>1.0</v>
      </c>
      <c r="D342" s="3" t="s">
        <v>32</v>
      </c>
      <c r="E342" s="3" t="s">
        <v>733</v>
      </c>
      <c r="F342" s="5" t="s">
        <v>734</v>
      </c>
      <c r="G342" s="3">
        <f t="array" ref="G342">SUMPRODUCT(--(TRIM($E$2:$E$421)=TRIM(E342)))</f>
        <v>1</v>
      </c>
      <c r="H342" s="3" t="s">
        <v>35</v>
      </c>
      <c r="I342" s="3" t="s">
        <v>36</v>
      </c>
      <c r="J342" s="3"/>
      <c r="K342" s="3"/>
      <c r="L342" s="3"/>
      <c r="M342" s="3"/>
      <c r="N342" s="3"/>
      <c r="O342" s="3"/>
      <c r="P342" s="3"/>
      <c r="Q342" s="3"/>
      <c r="R342" s="3"/>
      <c r="S342" s="3"/>
      <c r="T342" s="3"/>
      <c r="U342" s="3"/>
      <c r="V342" s="3"/>
      <c r="W342" s="3"/>
      <c r="X342" s="3"/>
      <c r="Y342" s="3"/>
      <c r="Z342" s="3"/>
    </row>
    <row r="343" ht="27.0" customHeight="1">
      <c r="A343" s="3" t="s">
        <v>9</v>
      </c>
      <c r="B343" s="4" t="s">
        <v>732</v>
      </c>
      <c r="C343" s="1">
        <v>2.0</v>
      </c>
      <c r="D343" s="3" t="s">
        <v>735</v>
      </c>
      <c r="E343" s="3" t="s">
        <v>736</v>
      </c>
      <c r="F343" s="5" t="s">
        <v>737</v>
      </c>
      <c r="G343" s="3">
        <f t="array" ref="G343">SUMPRODUCT(--(TRIM($E$2:$E$421)=TRIM(E343)))</f>
        <v>1</v>
      </c>
      <c r="H343" s="3" t="s">
        <v>150</v>
      </c>
      <c r="I343" s="3" t="s">
        <v>352</v>
      </c>
      <c r="J343" s="3"/>
      <c r="K343" s="3"/>
      <c r="L343" s="3"/>
      <c r="M343" s="3"/>
      <c r="N343" s="3"/>
      <c r="O343" s="3"/>
      <c r="P343" s="3"/>
      <c r="Q343" s="3"/>
      <c r="R343" s="3"/>
      <c r="S343" s="3"/>
      <c r="T343" s="3"/>
      <c r="U343" s="3"/>
      <c r="V343" s="3"/>
      <c r="W343" s="3"/>
      <c r="X343" s="3"/>
      <c r="Y343" s="3"/>
      <c r="Z343" s="3"/>
    </row>
    <row r="344" ht="27.0" customHeight="1">
      <c r="A344" s="3" t="s">
        <v>9</v>
      </c>
      <c r="B344" s="4" t="s">
        <v>732</v>
      </c>
      <c r="C344" s="1">
        <v>3.0</v>
      </c>
      <c r="D344" s="3" t="s">
        <v>738</v>
      </c>
      <c r="E344" s="3" t="s">
        <v>739</v>
      </c>
      <c r="F344" s="5" t="s">
        <v>740</v>
      </c>
      <c r="G344" s="3">
        <f t="array" ref="G344">SUMPRODUCT(--(TRIM($E$2:$E$421)=TRIM(E344)))</f>
        <v>1</v>
      </c>
      <c r="H344" s="3" t="s">
        <v>39</v>
      </c>
      <c r="I344" s="3" t="s">
        <v>40</v>
      </c>
      <c r="J344" s="3"/>
      <c r="K344" s="3"/>
      <c r="L344" s="3"/>
      <c r="M344" s="3"/>
      <c r="N344" s="3"/>
      <c r="O344" s="3"/>
      <c r="P344" s="3"/>
      <c r="Q344" s="3"/>
      <c r="R344" s="3"/>
      <c r="S344" s="3"/>
      <c r="T344" s="3"/>
      <c r="U344" s="3"/>
      <c r="V344" s="3"/>
      <c r="W344" s="3"/>
      <c r="X344" s="3"/>
      <c r="Y344" s="3"/>
      <c r="Z344" s="3"/>
    </row>
    <row r="345" ht="27.0" customHeight="1">
      <c r="A345" s="3" t="s">
        <v>9</v>
      </c>
      <c r="B345" s="4" t="s">
        <v>732</v>
      </c>
      <c r="C345" s="1">
        <v>4.0</v>
      </c>
      <c r="D345" s="3" t="s">
        <v>741</v>
      </c>
      <c r="E345" s="3" t="s">
        <v>742</v>
      </c>
      <c r="F345" s="5" t="s">
        <v>743</v>
      </c>
      <c r="G345" s="3">
        <f t="array" ref="G345">SUMPRODUCT(--(TRIM($E$2:$E$421)=TRIM(E345)))</f>
        <v>1</v>
      </c>
      <c r="H345" s="3" t="s">
        <v>170</v>
      </c>
      <c r="I345" s="3" t="s">
        <v>171</v>
      </c>
      <c r="J345" s="3"/>
      <c r="K345" s="3"/>
      <c r="L345" s="3"/>
      <c r="M345" s="3"/>
      <c r="N345" s="3"/>
      <c r="O345" s="3"/>
      <c r="P345" s="3"/>
      <c r="Q345" s="3"/>
      <c r="R345" s="3"/>
      <c r="S345" s="3"/>
      <c r="T345" s="3"/>
      <c r="U345" s="3"/>
      <c r="V345" s="3"/>
      <c r="W345" s="3"/>
      <c r="X345" s="3"/>
      <c r="Y345" s="3"/>
      <c r="Z345" s="3"/>
    </row>
    <row r="346" ht="27.0" customHeight="1">
      <c r="A346" s="3" t="s">
        <v>9</v>
      </c>
      <c r="B346" s="4" t="s">
        <v>732</v>
      </c>
      <c r="C346" s="1">
        <v>5.0</v>
      </c>
      <c r="D346" s="3" t="s">
        <v>32</v>
      </c>
      <c r="E346" s="3" t="s">
        <v>744</v>
      </c>
      <c r="F346" s="5" t="s">
        <v>745</v>
      </c>
      <c r="G346" s="3">
        <f t="array" ref="G346">SUMPRODUCT(--(TRIM($E$2:$E$421)=TRIM(E346)))</f>
        <v>1</v>
      </c>
      <c r="H346" s="3" t="s">
        <v>44</v>
      </c>
      <c r="I346" s="3" t="s">
        <v>45</v>
      </c>
      <c r="J346" s="3"/>
      <c r="K346" s="3"/>
      <c r="L346" s="3"/>
      <c r="M346" s="3"/>
      <c r="N346" s="3"/>
      <c r="O346" s="3"/>
      <c r="P346" s="3"/>
      <c r="Q346" s="3"/>
      <c r="R346" s="3"/>
      <c r="S346" s="3"/>
      <c r="T346" s="3"/>
      <c r="U346" s="3"/>
      <c r="V346" s="3"/>
      <c r="W346" s="3"/>
      <c r="X346" s="3"/>
      <c r="Y346" s="3"/>
      <c r="Z346" s="3"/>
    </row>
    <row r="347" ht="27.0" customHeight="1">
      <c r="A347" s="3" t="s">
        <v>9</v>
      </c>
      <c r="B347" s="4" t="s">
        <v>732</v>
      </c>
      <c r="C347" s="1">
        <v>6.0</v>
      </c>
      <c r="D347" s="3" t="s">
        <v>32</v>
      </c>
      <c r="E347" s="3" t="s">
        <v>746</v>
      </c>
      <c r="F347" s="5" t="s">
        <v>747</v>
      </c>
      <c r="G347" s="3">
        <f t="array" ref="G347">SUMPRODUCT(--(TRIM($E$2:$E$421)=TRIM(E347)))</f>
        <v>1</v>
      </c>
      <c r="H347" s="3" t="s">
        <v>301</v>
      </c>
      <c r="I347" s="3" t="s">
        <v>302</v>
      </c>
      <c r="J347" s="3"/>
      <c r="K347" s="3"/>
      <c r="L347" s="3"/>
      <c r="M347" s="3"/>
      <c r="N347" s="3"/>
      <c r="O347" s="3"/>
      <c r="P347" s="3"/>
      <c r="Q347" s="3"/>
      <c r="R347" s="3"/>
      <c r="S347" s="3"/>
      <c r="T347" s="3"/>
      <c r="U347" s="3"/>
      <c r="V347" s="3"/>
      <c r="W347" s="3"/>
      <c r="X347" s="3"/>
      <c r="Y347" s="3"/>
      <c r="Z347" s="3"/>
    </row>
    <row r="348" ht="27.0" customHeight="1">
      <c r="A348" s="3" t="s">
        <v>9</v>
      </c>
      <c r="B348" s="4" t="s">
        <v>732</v>
      </c>
      <c r="C348" s="1">
        <v>7.0</v>
      </c>
      <c r="D348" s="3" t="s">
        <v>748</v>
      </c>
      <c r="E348" s="3" t="s">
        <v>749</v>
      </c>
      <c r="F348" s="5" t="s">
        <v>750</v>
      </c>
      <c r="G348" s="3">
        <f t="array" ref="G348">SUMPRODUCT(--(TRIM($E$2:$E$421)=TRIM(E348)))</f>
        <v>1</v>
      </c>
      <c r="H348" s="3" t="s">
        <v>413</v>
      </c>
      <c r="I348" s="3" t="s">
        <v>384</v>
      </c>
      <c r="J348" s="3"/>
      <c r="K348" s="3"/>
      <c r="L348" s="3"/>
      <c r="M348" s="3"/>
      <c r="N348" s="3"/>
      <c r="O348" s="3"/>
      <c r="P348" s="3"/>
      <c r="Q348" s="3"/>
      <c r="R348" s="3"/>
      <c r="S348" s="3"/>
      <c r="T348" s="3"/>
      <c r="U348" s="3"/>
      <c r="V348" s="3"/>
      <c r="W348" s="3"/>
      <c r="X348" s="3"/>
      <c r="Y348" s="3"/>
      <c r="Z348" s="3"/>
    </row>
    <row r="349" ht="27.0" customHeight="1">
      <c r="A349" s="3" t="s">
        <v>9</v>
      </c>
      <c r="B349" s="4" t="s">
        <v>732</v>
      </c>
      <c r="C349" s="1">
        <v>8.0</v>
      </c>
      <c r="D349" s="3" t="s">
        <v>359</v>
      </c>
      <c r="E349" s="5" t="s">
        <v>108</v>
      </c>
      <c r="F349" s="5" t="s">
        <v>109</v>
      </c>
      <c r="G349" s="3">
        <f t="array" ref="G349">SUMPRODUCT(--(TRIM($E$2:$E$421)=TRIM(E349)))</f>
        <v>7</v>
      </c>
      <c r="H349" s="3" t="s">
        <v>14</v>
      </c>
      <c r="I349" s="3" t="s">
        <v>110</v>
      </c>
      <c r="J349" s="5"/>
      <c r="K349" s="3"/>
      <c r="L349" s="3"/>
      <c r="M349" s="3"/>
      <c r="N349" s="3"/>
      <c r="O349" s="3"/>
      <c r="P349" s="3"/>
      <c r="Q349" s="3"/>
      <c r="R349" s="3"/>
      <c r="S349" s="3"/>
      <c r="T349" s="3"/>
      <c r="U349" s="3"/>
      <c r="V349" s="3"/>
      <c r="W349" s="3"/>
      <c r="X349" s="3"/>
      <c r="Y349" s="3"/>
      <c r="Z349" s="3"/>
    </row>
    <row r="350" ht="27.0" customHeight="1">
      <c r="A350" s="3" t="s">
        <v>9</v>
      </c>
      <c r="B350" s="4" t="s">
        <v>732</v>
      </c>
      <c r="C350" s="1">
        <v>9.0</v>
      </c>
      <c r="D350" s="3" t="s">
        <v>32</v>
      </c>
      <c r="E350" s="3" t="s">
        <v>751</v>
      </c>
      <c r="F350" s="5" t="s">
        <v>752</v>
      </c>
      <c r="G350" s="3">
        <f t="array" ref="G350">SUMPRODUCT(--(TRIM($E$2:$E$421)=TRIM(E350)))</f>
        <v>2</v>
      </c>
      <c r="H350" s="3" t="s">
        <v>59</v>
      </c>
      <c r="I350" s="3" t="s">
        <v>60</v>
      </c>
      <c r="J350" s="3"/>
      <c r="K350" s="3"/>
      <c r="L350" s="3"/>
      <c r="M350" s="3"/>
      <c r="N350" s="3"/>
      <c r="O350" s="3"/>
      <c r="P350" s="3"/>
      <c r="Q350" s="3"/>
      <c r="R350" s="3"/>
      <c r="S350" s="3"/>
      <c r="T350" s="3"/>
      <c r="U350" s="3"/>
      <c r="V350" s="3"/>
      <c r="W350" s="3"/>
      <c r="X350" s="3"/>
      <c r="Y350" s="3"/>
      <c r="Z350" s="3"/>
    </row>
    <row r="351" ht="27.0" customHeight="1">
      <c r="A351" s="3" t="s">
        <v>9</v>
      </c>
      <c r="B351" s="4" t="s">
        <v>732</v>
      </c>
      <c r="C351" s="1">
        <v>10.0</v>
      </c>
      <c r="D351" s="3" t="s">
        <v>32</v>
      </c>
      <c r="E351" s="3" t="s">
        <v>753</v>
      </c>
      <c r="F351" s="5" t="s">
        <v>754</v>
      </c>
      <c r="G351" s="3">
        <f t="array" ref="G351">SUMPRODUCT(--(TRIM($E$2:$E$421)=TRIM(E351)))</f>
        <v>1</v>
      </c>
      <c r="H351" s="3" t="s">
        <v>27</v>
      </c>
      <c r="I351" s="3" t="s">
        <v>222</v>
      </c>
      <c r="J351" s="3"/>
      <c r="K351" s="3"/>
      <c r="L351" s="3"/>
      <c r="M351" s="3"/>
      <c r="N351" s="3"/>
      <c r="O351" s="3"/>
      <c r="P351" s="3"/>
      <c r="Q351" s="3"/>
      <c r="R351" s="3"/>
      <c r="S351" s="3"/>
      <c r="T351" s="3"/>
      <c r="U351" s="3"/>
      <c r="V351" s="3"/>
      <c r="W351" s="3"/>
      <c r="X351" s="3"/>
      <c r="Y351" s="3"/>
      <c r="Z351" s="3"/>
    </row>
    <row r="352" ht="27.0" customHeight="1">
      <c r="A352" s="3" t="s">
        <v>9</v>
      </c>
      <c r="B352" s="4" t="s">
        <v>732</v>
      </c>
      <c r="C352" s="1">
        <v>11.0</v>
      </c>
      <c r="D352" s="3" t="s">
        <v>32</v>
      </c>
      <c r="E352" s="3" t="s">
        <v>755</v>
      </c>
      <c r="F352" s="5" t="s">
        <v>756</v>
      </c>
      <c r="G352" s="3">
        <f t="array" ref="G352">SUMPRODUCT(--(TRIM($E$2:$E$421)=TRIM(E352)))</f>
        <v>1</v>
      </c>
      <c r="H352" s="3" t="s">
        <v>145</v>
      </c>
      <c r="I352" s="3" t="s">
        <v>146</v>
      </c>
      <c r="J352" s="3"/>
      <c r="K352" s="3"/>
      <c r="L352" s="3"/>
      <c r="M352" s="3"/>
      <c r="N352" s="3"/>
      <c r="O352" s="3"/>
      <c r="P352" s="3"/>
      <c r="Q352" s="3"/>
      <c r="R352" s="3"/>
      <c r="S352" s="3"/>
      <c r="T352" s="3"/>
      <c r="U352" s="3"/>
      <c r="V352" s="3"/>
      <c r="W352" s="3"/>
      <c r="X352" s="3"/>
      <c r="Y352" s="3"/>
      <c r="Z352" s="3"/>
    </row>
    <row r="353" ht="27.0" customHeight="1">
      <c r="A353" s="3" t="s">
        <v>9</v>
      </c>
      <c r="B353" s="4" t="s">
        <v>732</v>
      </c>
      <c r="C353" s="1">
        <v>12.0</v>
      </c>
      <c r="D353" s="3" t="s">
        <v>707</v>
      </c>
      <c r="E353" s="3" t="s">
        <v>757</v>
      </c>
      <c r="F353" s="5" t="s">
        <v>758</v>
      </c>
      <c r="G353" s="3">
        <f t="array" ref="G353">SUMPRODUCT(--(TRIM($E$2:$E$421)=TRIM(E353)))</f>
        <v>1</v>
      </c>
      <c r="H353" s="3" t="s">
        <v>35</v>
      </c>
      <c r="I353" s="3" t="s">
        <v>36</v>
      </c>
      <c r="J353" s="3"/>
      <c r="K353" s="3"/>
      <c r="L353" s="3"/>
      <c r="M353" s="3"/>
      <c r="N353" s="3"/>
      <c r="O353" s="3"/>
      <c r="P353" s="3"/>
      <c r="Q353" s="3"/>
      <c r="R353" s="3"/>
      <c r="S353" s="3"/>
      <c r="T353" s="3"/>
      <c r="U353" s="3"/>
      <c r="V353" s="3"/>
      <c r="W353" s="3"/>
      <c r="X353" s="3"/>
      <c r="Y353" s="3"/>
      <c r="Z353" s="3"/>
    </row>
    <row r="354" ht="27.0" customHeight="1">
      <c r="A354" s="3" t="s">
        <v>9</v>
      </c>
      <c r="B354" s="4" t="s">
        <v>732</v>
      </c>
      <c r="C354" s="1">
        <v>13.0</v>
      </c>
      <c r="D354" s="3" t="s">
        <v>759</v>
      </c>
      <c r="E354" s="5" t="s">
        <v>297</v>
      </c>
      <c r="F354" s="5" t="s">
        <v>298</v>
      </c>
      <c r="G354" s="3">
        <f t="array" ref="G354">SUMPRODUCT(--(TRIM($E$2:$E$421)=TRIM(E354)))</f>
        <v>2</v>
      </c>
      <c r="H354" s="3" t="s">
        <v>141</v>
      </c>
      <c r="I354" s="3" t="s">
        <v>55</v>
      </c>
      <c r="J354" s="5"/>
      <c r="K354" s="3"/>
      <c r="L354" s="3"/>
      <c r="M354" s="3"/>
      <c r="N354" s="3"/>
      <c r="O354" s="3"/>
      <c r="P354" s="3"/>
      <c r="Q354" s="3"/>
      <c r="R354" s="3"/>
      <c r="S354" s="3"/>
      <c r="T354" s="3"/>
      <c r="U354" s="3"/>
      <c r="V354" s="3"/>
      <c r="W354" s="3"/>
      <c r="X354" s="3"/>
      <c r="Y354" s="3"/>
      <c r="Z354" s="3"/>
    </row>
    <row r="355" ht="27.0" customHeight="1">
      <c r="A355" s="3" t="s">
        <v>9</v>
      </c>
      <c r="B355" s="4" t="s">
        <v>732</v>
      </c>
      <c r="C355" s="1">
        <v>14.0</v>
      </c>
      <c r="D355" s="3" t="s">
        <v>760</v>
      </c>
      <c r="E355" s="3" t="s">
        <v>761</v>
      </c>
      <c r="F355" s="5" t="s">
        <v>762</v>
      </c>
      <c r="G355" s="3">
        <f t="array" ref="G355">SUMPRODUCT(--(TRIM($E$2:$E$421)=TRIM(E355)))</f>
        <v>1</v>
      </c>
      <c r="H355" s="3" t="s">
        <v>141</v>
      </c>
      <c r="I355" s="3" t="s">
        <v>55</v>
      </c>
      <c r="J355" s="3"/>
      <c r="K355" s="3"/>
      <c r="L355" s="3"/>
      <c r="M355" s="3"/>
      <c r="N355" s="3"/>
      <c r="O355" s="3"/>
      <c r="P355" s="3"/>
      <c r="Q355" s="3"/>
      <c r="R355" s="3"/>
      <c r="S355" s="3"/>
      <c r="T355" s="3"/>
      <c r="U355" s="3"/>
      <c r="V355" s="3"/>
      <c r="W355" s="3"/>
      <c r="X355" s="3"/>
      <c r="Y355" s="3"/>
      <c r="Z355" s="3"/>
    </row>
    <row r="356" ht="27.0" customHeight="1">
      <c r="A356" s="3" t="s">
        <v>9</v>
      </c>
      <c r="B356" s="4" t="s">
        <v>732</v>
      </c>
      <c r="C356" s="1">
        <v>15.0</v>
      </c>
      <c r="D356" s="3" t="s">
        <v>32</v>
      </c>
      <c r="E356" s="3" t="s">
        <v>763</v>
      </c>
      <c r="F356" s="5" t="s">
        <v>764</v>
      </c>
      <c r="G356" s="3">
        <f t="array" ref="G356">SUMPRODUCT(--(TRIM($E$2:$E$421)=TRIM(E356)))</f>
        <v>1</v>
      </c>
      <c r="H356" s="3" t="s">
        <v>375</v>
      </c>
      <c r="I356" s="3" t="s">
        <v>376</v>
      </c>
      <c r="J356" s="3"/>
      <c r="K356" s="3"/>
      <c r="L356" s="3"/>
      <c r="M356" s="3"/>
      <c r="N356" s="3"/>
      <c r="O356" s="3"/>
      <c r="P356" s="3"/>
      <c r="Q356" s="3"/>
      <c r="R356" s="3"/>
      <c r="S356" s="3"/>
      <c r="T356" s="3"/>
      <c r="U356" s="3"/>
      <c r="V356" s="3"/>
      <c r="W356" s="3"/>
      <c r="X356" s="3"/>
      <c r="Y356" s="3"/>
      <c r="Z356" s="3"/>
    </row>
    <row r="357" ht="27.0" customHeight="1">
      <c r="A357" s="3" t="s">
        <v>9</v>
      </c>
      <c r="B357" s="4" t="s">
        <v>732</v>
      </c>
      <c r="C357" s="1">
        <v>16.0</v>
      </c>
      <c r="D357" s="3" t="s">
        <v>765</v>
      </c>
      <c r="E357" s="3" t="s">
        <v>766</v>
      </c>
      <c r="F357" s="5" t="s">
        <v>767</v>
      </c>
      <c r="G357" s="3">
        <f t="array" ref="G357">SUMPRODUCT(--(TRIM($E$2:$E$421)=TRIM(E357)))</f>
        <v>1</v>
      </c>
      <c r="H357" s="3" t="s">
        <v>768</v>
      </c>
      <c r="I357" s="3" t="s">
        <v>264</v>
      </c>
      <c r="J357" s="3"/>
      <c r="K357" s="3"/>
      <c r="L357" s="3"/>
      <c r="M357" s="3"/>
      <c r="N357" s="3"/>
      <c r="O357" s="3"/>
      <c r="P357" s="3"/>
      <c r="Q357" s="3"/>
      <c r="R357" s="3"/>
      <c r="S357" s="3"/>
      <c r="T357" s="3"/>
      <c r="U357" s="3"/>
      <c r="V357" s="3"/>
      <c r="W357" s="3"/>
      <c r="X357" s="3"/>
      <c r="Y357" s="3"/>
      <c r="Z357" s="3"/>
    </row>
    <row r="358" ht="27.0" customHeight="1">
      <c r="A358" s="3" t="s">
        <v>9</v>
      </c>
      <c r="B358" s="4" t="s">
        <v>732</v>
      </c>
      <c r="C358" s="1">
        <v>17.0</v>
      </c>
      <c r="D358" s="3" t="s">
        <v>32</v>
      </c>
      <c r="E358" s="3" t="s">
        <v>769</v>
      </c>
      <c r="F358" s="5" t="s">
        <v>770</v>
      </c>
      <c r="G358" s="3">
        <f t="array" ref="G358">SUMPRODUCT(--(TRIM($E$2:$E$421)=TRIM(E358)))</f>
        <v>1</v>
      </c>
      <c r="H358" s="3" t="s">
        <v>317</v>
      </c>
      <c r="I358" s="3" t="s">
        <v>137</v>
      </c>
      <c r="J358" s="3"/>
      <c r="K358" s="3"/>
      <c r="L358" s="3"/>
      <c r="M358" s="3"/>
      <c r="N358" s="3"/>
      <c r="O358" s="3"/>
      <c r="P358" s="3"/>
      <c r="Q358" s="3"/>
      <c r="R358" s="3"/>
      <c r="S358" s="3"/>
      <c r="T358" s="3"/>
      <c r="U358" s="3"/>
      <c r="V358" s="3"/>
      <c r="W358" s="3"/>
      <c r="X358" s="3"/>
      <c r="Y358" s="3"/>
      <c r="Z358" s="3"/>
    </row>
    <row r="359" ht="27.0" customHeight="1">
      <c r="A359" s="3" t="s">
        <v>9</v>
      </c>
      <c r="B359" s="4" t="s">
        <v>732</v>
      </c>
      <c r="C359" s="1">
        <v>18.0</v>
      </c>
      <c r="D359" s="3" t="s">
        <v>32</v>
      </c>
      <c r="E359" s="3" t="s">
        <v>771</v>
      </c>
      <c r="F359" s="5" t="s">
        <v>772</v>
      </c>
      <c r="G359" s="3">
        <f t="array" ref="G359">SUMPRODUCT(--(TRIM($E$2:$E$421)=TRIM(E359)))</f>
        <v>1</v>
      </c>
      <c r="H359" s="3" t="s">
        <v>22</v>
      </c>
      <c r="I359" s="3" t="s">
        <v>80</v>
      </c>
      <c r="J359" s="3"/>
      <c r="K359" s="3"/>
      <c r="L359" s="3"/>
      <c r="M359" s="3"/>
      <c r="N359" s="3"/>
      <c r="O359" s="3"/>
      <c r="P359" s="3"/>
      <c r="Q359" s="3"/>
      <c r="R359" s="3"/>
      <c r="S359" s="3"/>
      <c r="T359" s="3"/>
      <c r="U359" s="3"/>
      <c r="V359" s="3"/>
      <c r="W359" s="3"/>
      <c r="X359" s="3"/>
      <c r="Y359" s="3"/>
      <c r="Z359" s="3"/>
    </row>
    <row r="360" ht="27.0" customHeight="1">
      <c r="A360" s="3" t="s">
        <v>9</v>
      </c>
      <c r="B360" s="4" t="s">
        <v>732</v>
      </c>
      <c r="C360" s="1">
        <v>19.0</v>
      </c>
      <c r="D360" s="3" t="s">
        <v>773</v>
      </c>
      <c r="E360" s="3" t="s">
        <v>774</v>
      </c>
      <c r="F360" s="5" t="s">
        <v>775</v>
      </c>
      <c r="G360" s="3">
        <f t="array" ref="G360">SUMPRODUCT(--(TRIM($E$2:$E$421)=TRIM(E360)))</f>
        <v>1</v>
      </c>
      <c r="H360" s="3" t="s">
        <v>64</v>
      </c>
      <c r="I360" s="3" t="s">
        <v>176</v>
      </c>
      <c r="J360" s="3"/>
      <c r="K360" s="3"/>
      <c r="L360" s="3"/>
      <c r="M360" s="3"/>
      <c r="N360" s="3"/>
      <c r="O360" s="3"/>
      <c r="P360" s="3"/>
      <c r="Q360" s="3"/>
      <c r="R360" s="3"/>
      <c r="S360" s="3"/>
      <c r="T360" s="3"/>
      <c r="U360" s="3"/>
      <c r="V360" s="3"/>
      <c r="W360" s="3"/>
      <c r="X360" s="3"/>
      <c r="Y360" s="3"/>
      <c r="Z360" s="3"/>
    </row>
    <row r="361" ht="27.0" customHeight="1">
      <c r="A361" s="3" t="s">
        <v>9</v>
      </c>
      <c r="B361" s="4" t="s">
        <v>732</v>
      </c>
      <c r="C361" s="1">
        <v>20.0</v>
      </c>
      <c r="D361" s="3" t="s">
        <v>776</v>
      </c>
      <c r="E361" s="3" t="s">
        <v>777</v>
      </c>
      <c r="F361" s="5" t="s">
        <v>778</v>
      </c>
      <c r="G361" s="3">
        <f t="array" ref="G361">SUMPRODUCT(--(TRIM($E$2:$E$421)=TRIM(E361)))</f>
        <v>1</v>
      </c>
      <c r="H361" s="3" t="s">
        <v>91</v>
      </c>
      <c r="I361" s="3" t="s">
        <v>92</v>
      </c>
      <c r="J361" s="3"/>
      <c r="K361" s="3"/>
      <c r="L361" s="3"/>
      <c r="M361" s="3"/>
      <c r="N361" s="3"/>
      <c r="O361" s="3"/>
      <c r="P361" s="3"/>
      <c r="Q361" s="3"/>
      <c r="R361" s="3"/>
      <c r="S361" s="3"/>
      <c r="T361" s="3"/>
      <c r="U361" s="3"/>
      <c r="V361" s="3"/>
      <c r="W361" s="3"/>
      <c r="X361" s="3"/>
      <c r="Y361" s="3"/>
      <c r="Z361" s="3"/>
    </row>
    <row r="362" ht="27.0" customHeight="1">
      <c r="A362" s="3" t="s">
        <v>9</v>
      </c>
      <c r="B362" s="4" t="s">
        <v>732</v>
      </c>
      <c r="C362" s="1">
        <v>21.0</v>
      </c>
      <c r="D362" s="3" t="s">
        <v>142</v>
      </c>
      <c r="E362" s="5" t="s">
        <v>143</v>
      </c>
      <c r="F362" s="5" t="s">
        <v>144</v>
      </c>
      <c r="G362" s="3">
        <f t="array" ref="G362">SUMPRODUCT(--(TRIM($E$2:$E$421)=TRIM(E362)))</f>
        <v>6</v>
      </c>
      <c r="H362" s="3" t="s">
        <v>145</v>
      </c>
      <c r="I362" s="3" t="s">
        <v>146</v>
      </c>
      <c r="J362" s="5"/>
      <c r="K362" s="3"/>
      <c r="L362" s="3"/>
      <c r="M362" s="3"/>
      <c r="N362" s="3"/>
      <c r="O362" s="3"/>
      <c r="P362" s="3"/>
      <c r="Q362" s="3"/>
      <c r="R362" s="3"/>
      <c r="S362" s="3"/>
      <c r="T362" s="3"/>
      <c r="U362" s="3"/>
      <c r="V362" s="3"/>
      <c r="W362" s="3"/>
      <c r="X362" s="3"/>
      <c r="Y362" s="3"/>
      <c r="Z362" s="3"/>
    </row>
    <row r="363" ht="27.0" customHeight="1">
      <c r="A363" s="3" t="s">
        <v>9</v>
      </c>
      <c r="B363" s="4" t="s">
        <v>732</v>
      </c>
      <c r="C363" s="1">
        <v>22.0</v>
      </c>
      <c r="D363" s="3" t="s">
        <v>779</v>
      </c>
      <c r="E363" s="3" t="s">
        <v>780</v>
      </c>
      <c r="F363" s="5" t="s">
        <v>781</v>
      </c>
      <c r="G363" s="3">
        <f t="array" ref="G363">SUMPRODUCT(--(TRIM($E$2:$E$421)=TRIM(E363)))</f>
        <v>1</v>
      </c>
      <c r="H363" s="3" t="s">
        <v>145</v>
      </c>
      <c r="I363" s="3" t="s">
        <v>146</v>
      </c>
      <c r="J363" s="3"/>
      <c r="K363" s="3"/>
      <c r="L363" s="3"/>
      <c r="M363" s="3"/>
      <c r="N363" s="3"/>
      <c r="O363" s="3"/>
      <c r="P363" s="3"/>
      <c r="Q363" s="3"/>
      <c r="R363" s="3"/>
      <c r="S363" s="3"/>
      <c r="T363" s="3"/>
      <c r="U363" s="3"/>
      <c r="V363" s="3"/>
      <c r="W363" s="3"/>
      <c r="X363" s="3"/>
      <c r="Y363" s="3"/>
      <c r="Z363" s="3"/>
    </row>
    <row r="364" ht="27.0" customHeight="1">
      <c r="A364" s="3" t="s">
        <v>9</v>
      </c>
      <c r="B364" s="4" t="s">
        <v>732</v>
      </c>
      <c r="C364" s="1">
        <v>23.0</v>
      </c>
      <c r="D364" s="3" t="s">
        <v>16</v>
      </c>
      <c r="E364" s="3" t="s">
        <v>782</v>
      </c>
      <c r="F364" s="5" t="s">
        <v>783</v>
      </c>
      <c r="G364" s="3">
        <f t="array" ref="G364">SUMPRODUCT(--(TRIM($E$2:$E$421)=TRIM(E364)))</f>
        <v>1</v>
      </c>
      <c r="H364" s="3" t="s">
        <v>14</v>
      </c>
      <c r="I364" s="3" t="s">
        <v>15</v>
      </c>
      <c r="J364" s="3"/>
      <c r="K364" s="3"/>
      <c r="L364" s="3"/>
      <c r="M364" s="3"/>
      <c r="N364" s="3"/>
      <c r="O364" s="3"/>
      <c r="P364" s="3"/>
      <c r="Q364" s="3"/>
      <c r="R364" s="3"/>
      <c r="S364" s="3"/>
      <c r="T364" s="3"/>
      <c r="U364" s="3"/>
      <c r="V364" s="3"/>
      <c r="W364" s="3"/>
      <c r="X364" s="3"/>
      <c r="Y364" s="3"/>
      <c r="Z364" s="3"/>
    </row>
    <row r="365" ht="27.0" customHeight="1">
      <c r="A365" s="3" t="s">
        <v>9</v>
      </c>
      <c r="B365" s="4" t="s">
        <v>732</v>
      </c>
      <c r="C365" s="1">
        <v>24.0</v>
      </c>
      <c r="D365" s="3" t="s">
        <v>554</v>
      </c>
      <c r="E365" s="3" t="s">
        <v>784</v>
      </c>
      <c r="F365" s="5" t="s">
        <v>785</v>
      </c>
      <c r="G365" s="3">
        <f t="array" ref="G365">SUMPRODUCT(--(TRIM($E$2:$E$421)=TRIM(E365)))</f>
        <v>1</v>
      </c>
      <c r="H365" s="3" t="s">
        <v>268</v>
      </c>
      <c r="I365" s="3" t="s">
        <v>269</v>
      </c>
      <c r="J365" s="3"/>
      <c r="K365" s="3"/>
      <c r="L365" s="3"/>
      <c r="M365" s="3"/>
      <c r="N365" s="3"/>
      <c r="O365" s="3"/>
      <c r="P365" s="3"/>
      <c r="Q365" s="3"/>
      <c r="R365" s="3"/>
      <c r="S365" s="3"/>
      <c r="T365" s="3"/>
      <c r="U365" s="3"/>
      <c r="V365" s="3"/>
      <c r="W365" s="3"/>
      <c r="X365" s="3"/>
      <c r="Y365" s="3"/>
      <c r="Z365" s="3"/>
    </row>
    <row r="366" ht="27.0" customHeight="1">
      <c r="A366" s="3" t="s">
        <v>9</v>
      </c>
      <c r="B366" s="4" t="s">
        <v>732</v>
      </c>
      <c r="C366" s="1">
        <v>25.0</v>
      </c>
      <c r="D366" s="3" t="s">
        <v>32</v>
      </c>
      <c r="E366" s="5" t="s">
        <v>37</v>
      </c>
      <c r="F366" s="5" t="s">
        <v>38</v>
      </c>
      <c r="G366" s="3">
        <f t="array" ref="G366">SUMPRODUCT(--(TRIM($E$2:$E$421)=TRIM(E366)))</f>
        <v>3</v>
      </c>
      <c r="H366" s="3" t="s">
        <v>39</v>
      </c>
      <c r="I366" s="3" t="s">
        <v>40</v>
      </c>
      <c r="J366" s="5"/>
      <c r="K366" s="3"/>
      <c r="L366" s="3"/>
      <c r="M366" s="3"/>
      <c r="N366" s="3"/>
      <c r="O366" s="3"/>
      <c r="P366" s="3"/>
      <c r="Q366" s="3"/>
      <c r="R366" s="3"/>
      <c r="S366" s="3"/>
      <c r="T366" s="3"/>
      <c r="U366" s="3"/>
      <c r="V366" s="3"/>
      <c r="W366" s="3"/>
      <c r="X366" s="3"/>
      <c r="Y366" s="3"/>
      <c r="Z366" s="3"/>
    </row>
    <row r="367" ht="27.0" customHeight="1">
      <c r="A367" s="3" t="s">
        <v>9</v>
      </c>
      <c r="B367" s="4" t="s">
        <v>732</v>
      </c>
      <c r="C367" s="1">
        <v>26.0</v>
      </c>
      <c r="D367" s="3" t="s">
        <v>249</v>
      </c>
      <c r="E367" s="5" t="s">
        <v>250</v>
      </c>
      <c r="F367" s="5" t="s">
        <v>251</v>
      </c>
      <c r="G367" s="3">
        <f t="array" ref="G367">SUMPRODUCT(--(TRIM($E$2:$E$421)=TRIM(E367)))</f>
        <v>5</v>
      </c>
      <c r="H367" s="3" t="s">
        <v>214</v>
      </c>
      <c r="I367" s="3" t="s">
        <v>215</v>
      </c>
      <c r="J367" s="3"/>
      <c r="K367" s="3"/>
      <c r="L367" s="3"/>
      <c r="M367" s="3"/>
      <c r="N367" s="3"/>
      <c r="O367" s="3"/>
      <c r="P367" s="3"/>
      <c r="Q367" s="3"/>
      <c r="R367" s="3"/>
      <c r="S367" s="3"/>
      <c r="T367" s="3"/>
      <c r="U367" s="3"/>
      <c r="V367" s="3"/>
      <c r="W367" s="3"/>
      <c r="X367" s="3"/>
      <c r="Y367" s="3"/>
      <c r="Z367" s="3"/>
    </row>
    <row r="368" ht="27.0" customHeight="1">
      <c r="A368" s="3" t="s">
        <v>9</v>
      </c>
      <c r="B368" s="4" t="s">
        <v>732</v>
      </c>
      <c r="C368" s="1">
        <v>27.0</v>
      </c>
      <c r="D368" s="3" t="s">
        <v>786</v>
      </c>
      <c r="E368" s="3" t="s">
        <v>787</v>
      </c>
      <c r="F368" s="5" t="s">
        <v>788</v>
      </c>
      <c r="G368" s="3">
        <f t="array" ref="G368">SUMPRODUCT(--(TRIM($E$2:$E$421)=TRIM(E368)))</f>
        <v>1</v>
      </c>
      <c r="H368" s="3" t="s">
        <v>73</v>
      </c>
      <c r="I368" s="3" t="s">
        <v>74</v>
      </c>
      <c r="J368" s="3"/>
      <c r="K368" s="3"/>
      <c r="L368" s="3"/>
      <c r="M368" s="3"/>
      <c r="N368" s="3"/>
      <c r="O368" s="3"/>
      <c r="P368" s="3"/>
      <c r="Q368" s="3"/>
      <c r="R368" s="3"/>
      <c r="S368" s="3"/>
      <c r="T368" s="3"/>
      <c r="U368" s="3"/>
      <c r="V368" s="3"/>
      <c r="W368" s="3"/>
      <c r="X368" s="3"/>
      <c r="Y368" s="3"/>
      <c r="Z368" s="3"/>
    </row>
    <row r="369" ht="27.0" customHeight="1">
      <c r="A369" s="3" t="s">
        <v>9</v>
      </c>
      <c r="B369" s="4" t="s">
        <v>732</v>
      </c>
      <c r="C369" s="1">
        <v>28.0</v>
      </c>
      <c r="D369" s="3" t="s">
        <v>789</v>
      </c>
      <c r="E369" s="3" t="s">
        <v>790</v>
      </c>
      <c r="F369" s="5" t="s">
        <v>791</v>
      </c>
      <c r="G369" s="3">
        <f t="array" ref="G369">SUMPRODUCT(--(TRIM($E$2:$E$421)=TRIM(E369)))</f>
        <v>1</v>
      </c>
      <c r="H369" s="3" t="s">
        <v>27</v>
      </c>
      <c r="I369" s="3" t="s">
        <v>222</v>
      </c>
      <c r="J369" s="3"/>
      <c r="K369" s="3"/>
      <c r="L369" s="3"/>
      <c r="M369" s="3"/>
      <c r="N369" s="3"/>
      <c r="O369" s="3"/>
      <c r="P369" s="3"/>
      <c r="Q369" s="3"/>
      <c r="R369" s="3"/>
      <c r="S369" s="3"/>
      <c r="T369" s="3"/>
      <c r="U369" s="3"/>
      <c r="V369" s="3"/>
      <c r="W369" s="3"/>
      <c r="X369" s="3"/>
      <c r="Y369" s="3"/>
      <c r="Z369" s="3"/>
    </row>
    <row r="370" ht="27.0" customHeight="1">
      <c r="A370" s="3" t="s">
        <v>9</v>
      </c>
      <c r="B370" s="4" t="s">
        <v>732</v>
      </c>
      <c r="C370" s="1">
        <v>29.0</v>
      </c>
      <c r="D370" s="3" t="s">
        <v>458</v>
      </c>
      <c r="E370" s="3" t="s">
        <v>792</v>
      </c>
      <c r="F370" s="5" t="s">
        <v>793</v>
      </c>
      <c r="G370" s="3">
        <f t="array" ref="G370">SUMPRODUCT(--(TRIM($E$2:$E$421)=TRIM(E370)))</f>
        <v>1</v>
      </c>
      <c r="H370" s="3" t="s">
        <v>199</v>
      </c>
      <c r="I370" s="3" t="s">
        <v>264</v>
      </c>
      <c r="J370" s="3"/>
      <c r="K370" s="3"/>
      <c r="L370" s="3"/>
      <c r="M370" s="3"/>
      <c r="N370" s="3"/>
      <c r="O370" s="3"/>
      <c r="P370" s="3"/>
      <c r="Q370" s="3"/>
      <c r="R370" s="3"/>
      <c r="S370" s="3"/>
      <c r="T370" s="3"/>
      <c r="U370" s="3"/>
      <c r="V370" s="3"/>
      <c r="W370" s="3"/>
      <c r="X370" s="3"/>
      <c r="Y370" s="3"/>
      <c r="Z370" s="3"/>
    </row>
    <row r="371" ht="27.0" customHeight="1">
      <c r="A371" s="3" t="s">
        <v>9</v>
      </c>
      <c r="B371" s="4" t="s">
        <v>732</v>
      </c>
      <c r="C371" s="1">
        <v>30.0</v>
      </c>
      <c r="D371" s="3" t="s">
        <v>32</v>
      </c>
      <c r="E371" s="3" t="s">
        <v>794</v>
      </c>
      <c r="F371" s="5" t="s">
        <v>795</v>
      </c>
      <c r="G371" s="3">
        <f t="array" ref="G371">SUMPRODUCT(--(TRIM($E$2:$E$421)=TRIM(E371)))</f>
        <v>1</v>
      </c>
      <c r="H371" s="3" t="s">
        <v>150</v>
      </c>
      <c r="I371" s="3" t="s">
        <v>137</v>
      </c>
      <c r="J371" s="3"/>
      <c r="K371" s="3"/>
      <c r="L371" s="3"/>
      <c r="M371" s="3"/>
      <c r="N371" s="3"/>
      <c r="O371" s="3"/>
      <c r="P371" s="3"/>
      <c r="Q371" s="3"/>
      <c r="R371" s="3"/>
      <c r="S371" s="3"/>
      <c r="T371" s="3"/>
      <c r="U371" s="3"/>
      <c r="V371" s="3"/>
      <c r="W371" s="3"/>
      <c r="X371" s="3"/>
      <c r="Y371" s="3"/>
      <c r="Z371" s="3"/>
    </row>
    <row r="372" ht="27.0" customHeight="1">
      <c r="A372" s="3" t="s">
        <v>9</v>
      </c>
      <c r="B372" s="4" t="s">
        <v>732</v>
      </c>
      <c r="C372" s="1">
        <v>31.0</v>
      </c>
      <c r="D372" s="3" t="s">
        <v>32</v>
      </c>
      <c r="E372" s="3" t="s">
        <v>796</v>
      </c>
      <c r="F372" s="5" t="s">
        <v>797</v>
      </c>
      <c r="G372" s="3">
        <f t="array" ref="G372">SUMPRODUCT(--(TRIM($E$2:$E$421)=TRIM(E372)))</f>
        <v>1</v>
      </c>
      <c r="H372" s="3" t="s">
        <v>14</v>
      </c>
      <c r="I372" s="3" t="s">
        <v>110</v>
      </c>
      <c r="J372" s="3"/>
      <c r="K372" s="3"/>
      <c r="L372" s="3"/>
      <c r="M372" s="3"/>
      <c r="N372" s="3"/>
      <c r="O372" s="3"/>
      <c r="P372" s="3"/>
      <c r="Q372" s="3"/>
      <c r="R372" s="3"/>
      <c r="S372" s="3"/>
      <c r="T372" s="3"/>
      <c r="U372" s="3"/>
      <c r="V372" s="3"/>
      <c r="W372" s="3"/>
      <c r="X372" s="3"/>
      <c r="Y372" s="3"/>
      <c r="Z372" s="3"/>
    </row>
    <row r="373" ht="27.0" customHeight="1">
      <c r="A373" s="3" t="s">
        <v>9</v>
      </c>
      <c r="B373" s="4" t="s">
        <v>732</v>
      </c>
      <c r="C373" s="1">
        <v>32.0</v>
      </c>
      <c r="D373" s="3" t="s">
        <v>798</v>
      </c>
      <c r="E373" s="3" t="s">
        <v>642</v>
      </c>
      <c r="F373" s="5" t="s">
        <v>643</v>
      </c>
      <c r="G373" s="3">
        <f t="array" ref="G373">SUMPRODUCT(--(TRIM($E$2:$E$421)=TRIM(E373)))</f>
        <v>2</v>
      </c>
      <c r="H373" s="3" t="s">
        <v>14</v>
      </c>
      <c r="I373" s="3" t="s">
        <v>180</v>
      </c>
      <c r="J373" s="3"/>
      <c r="K373" s="3"/>
      <c r="L373" s="3"/>
      <c r="M373" s="3"/>
      <c r="N373" s="3"/>
      <c r="O373" s="3"/>
      <c r="P373" s="3"/>
      <c r="Q373" s="3"/>
      <c r="R373" s="3"/>
      <c r="S373" s="3"/>
      <c r="T373" s="3"/>
      <c r="U373" s="3"/>
      <c r="V373" s="3"/>
      <c r="W373" s="3"/>
      <c r="X373" s="3"/>
      <c r="Y373" s="3"/>
      <c r="Z373" s="3"/>
    </row>
    <row r="374" ht="27.0" customHeight="1">
      <c r="A374" s="3" t="s">
        <v>9</v>
      </c>
      <c r="B374" s="4" t="s">
        <v>732</v>
      </c>
      <c r="C374" s="1">
        <v>33.0</v>
      </c>
      <c r="D374" s="3" t="s">
        <v>32</v>
      </c>
      <c r="E374" s="3" t="s">
        <v>799</v>
      </c>
      <c r="F374" s="5" t="s">
        <v>800</v>
      </c>
      <c r="G374" s="3">
        <f t="array" ref="G374">SUMPRODUCT(--(TRIM($E$2:$E$421)=TRIM(E374)))</f>
        <v>1</v>
      </c>
      <c r="H374" s="3" t="s">
        <v>87</v>
      </c>
      <c r="I374" s="3" t="s">
        <v>88</v>
      </c>
      <c r="J374" s="3"/>
      <c r="K374" s="3"/>
      <c r="L374" s="3"/>
      <c r="M374" s="3"/>
      <c r="N374" s="3"/>
      <c r="O374" s="3"/>
      <c r="P374" s="3"/>
      <c r="Q374" s="3"/>
      <c r="R374" s="3"/>
      <c r="S374" s="3"/>
      <c r="T374" s="3"/>
      <c r="U374" s="3"/>
      <c r="V374" s="3"/>
      <c r="W374" s="3"/>
      <c r="X374" s="3"/>
      <c r="Y374" s="3"/>
      <c r="Z374" s="3"/>
    </row>
    <row r="375" ht="27.0" customHeight="1">
      <c r="A375" s="3" t="s">
        <v>9</v>
      </c>
      <c r="B375" s="4" t="s">
        <v>732</v>
      </c>
      <c r="C375" s="1">
        <v>34.0</v>
      </c>
      <c r="D375" s="3" t="s">
        <v>61</v>
      </c>
      <c r="E375" s="5" t="s">
        <v>62</v>
      </c>
      <c r="F375" s="5" t="s">
        <v>63</v>
      </c>
      <c r="G375" s="3">
        <f t="array" ref="G375">SUMPRODUCT(--(TRIM($E$2:$E$421)=TRIM(E375)))</f>
        <v>5</v>
      </c>
      <c r="H375" s="3" t="s">
        <v>64</v>
      </c>
      <c r="I375" s="3" t="s">
        <v>65</v>
      </c>
      <c r="J375" s="5"/>
      <c r="K375" s="3"/>
      <c r="L375" s="3"/>
      <c r="M375" s="3"/>
      <c r="N375" s="3"/>
      <c r="O375" s="3"/>
      <c r="P375" s="3"/>
      <c r="Q375" s="3"/>
      <c r="R375" s="3"/>
      <c r="S375" s="3"/>
      <c r="T375" s="3"/>
      <c r="U375" s="3"/>
      <c r="V375" s="3"/>
      <c r="W375" s="3"/>
      <c r="X375" s="3"/>
      <c r="Y375" s="3"/>
      <c r="Z375" s="3"/>
    </row>
    <row r="376" ht="27.0" customHeight="1">
      <c r="A376" s="3" t="s">
        <v>9</v>
      </c>
      <c r="B376" s="4" t="s">
        <v>732</v>
      </c>
      <c r="C376" s="1">
        <v>35.0</v>
      </c>
      <c r="D376" s="3" t="s">
        <v>32</v>
      </c>
      <c r="E376" s="3" t="s">
        <v>801</v>
      </c>
      <c r="F376" s="5" t="s">
        <v>802</v>
      </c>
      <c r="G376" s="3">
        <f t="array" ref="G376">SUMPRODUCT(--(TRIM($E$2:$E$421)=TRIM(E376)))</f>
        <v>1</v>
      </c>
      <c r="H376" s="3" t="s">
        <v>141</v>
      </c>
      <c r="I376" s="3" t="s">
        <v>55</v>
      </c>
      <c r="J376" s="3"/>
      <c r="K376" s="3"/>
      <c r="L376" s="3"/>
      <c r="M376" s="3"/>
      <c r="N376" s="3"/>
      <c r="O376" s="3"/>
      <c r="P376" s="3"/>
      <c r="Q376" s="3"/>
      <c r="R376" s="3"/>
      <c r="S376" s="3"/>
      <c r="T376" s="3"/>
      <c r="U376" s="3"/>
      <c r="V376" s="3"/>
      <c r="W376" s="3"/>
      <c r="X376" s="3"/>
      <c r="Y376" s="3"/>
      <c r="Z376" s="3"/>
    </row>
    <row r="377" ht="27.0" customHeight="1">
      <c r="A377" s="3" t="s">
        <v>9</v>
      </c>
      <c r="B377" s="4" t="s">
        <v>732</v>
      </c>
      <c r="C377" s="1">
        <v>36.0</v>
      </c>
      <c r="D377" s="3" t="s">
        <v>803</v>
      </c>
      <c r="E377" s="3" t="s">
        <v>804</v>
      </c>
      <c r="F377" s="5" t="s">
        <v>805</v>
      </c>
      <c r="G377" s="3">
        <f t="array" ref="G377">SUMPRODUCT(--(TRIM($E$2:$E$421)=TRIM(E377)))</f>
        <v>1</v>
      </c>
      <c r="H377" s="3" t="s">
        <v>114</v>
      </c>
      <c r="I377" s="3" t="s">
        <v>115</v>
      </c>
      <c r="J377" s="3"/>
      <c r="K377" s="3"/>
      <c r="L377" s="3"/>
      <c r="M377" s="3"/>
      <c r="N377" s="3"/>
      <c r="O377" s="3"/>
      <c r="P377" s="3"/>
      <c r="Q377" s="3"/>
      <c r="R377" s="3"/>
      <c r="S377" s="3"/>
      <c r="T377" s="3"/>
      <c r="U377" s="3"/>
      <c r="V377" s="3"/>
      <c r="W377" s="3"/>
      <c r="X377" s="3"/>
      <c r="Y377" s="3"/>
      <c r="Z377" s="3"/>
    </row>
    <row r="378" ht="27.0" customHeight="1">
      <c r="A378" s="3" t="s">
        <v>9</v>
      </c>
      <c r="B378" s="4" t="s">
        <v>732</v>
      </c>
      <c r="C378" s="1">
        <v>37.0</v>
      </c>
      <c r="D378" s="3" t="s">
        <v>32</v>
      </c>
      <c r="E378" s="3" t="s">
        <v>806</v>
      </c>
      <c r="F378" s="5" t="s">
        <v>807</v>
      </c>
      <c r="G378" s="3">
        <f t="array" ref="G378">SUMPRODUCT(--(TRIM($E$2:$E$421)=TRIM(E378)))</f>
        <v>1</v>
      </c>
      <c r="H378" s="3" t="s">
        <v>54</v>
      </c>
      <c r="I378" s="3" t="s">
        <v>102</v>
      </c>
      <c r="J378" s="3"/>
      <c r="K378" s="3"/>
      <c r="L378" s="3"/>
      <c r="M378" s="3"/>
      <c r="N378" s="3"/>
      <c r="O378" s="3"/>
      <c r="P378" s="3"/>
      <c r="Q378" s="3"/>
      <c r="R378" s="3"/>
      <c r="S378" s="3"/>
      <c r="T378" s="3"/>
      <c r="U378" s="3"/>
      <c r="V378" s="3"/>
      <c r="W378" s="3"/>
      <c r="X378" s="3"/>
      <c r="Y378" s="3"/>
      <c r="Z378" s="3"/>
    </row>
    <row r="379" ht="27.0" customHeight="1">
      <c r="A379" s="3" t="s">
        <v>9</v>
      </c>
      <c r="B379" s="4" t="s">
        <v>732</v>
      </c>
      <c r="C379" s="1">
        <v>38.0</v>
      </c>
      <c r="D379" s="3" t="s">
        <v>32</v>
      </c>
      <c r="E379" s="3" t="s">
        <v>808</v>
      </c>
      <c r="F379" s="5" t="s">
        <v>809</v>
      </c>
      <c r="G379" s="3">
        <f t="array" ref="G379">SUMPRODUCT(--(TRIM($E$2:$E$421)=TRIM(E379)))</f>
        <v>1</v>
      </c>
      <c r="H379" s="3" t="s">
        <v>39</v>
      </c>
      <c r="I379" s="3" t="s">
        <v>40</v>
      </c>
      <c r="J379" s="3"/>
      <c r="K379" s="3"/>
      <c r="L379" s="3"/>
      <c r="M379" s="3"/>
      <c r="N379" s="3"/>
      <c r="O379" s="3"/>
      <c r="P379" s="3"/>
      <c r="Q379" s="3"/>
      <c r="R379" s="3"/>
      <c r="S379" s="3"/>
      <c r="T379" s="3"/>
      <c r="U379" s="3"/>
      <c r="V379" s="3"/>
      <c r="W379" s="3"/>
      <c r="X379" s="3"/>
      <c r="Y379" s="3"/>
      <c r="Z379" s="3"/>
    </row>
    <row r="380" ht="27.0" customHeight="1">
      <c r="A380" s="3" t="s">
        <v>9</v>
      </c>
      <c r="B380" s="4" t="s">
        <v>732</v>
      </c>
      <c r="C380" s="1">
        <v>39.0</v>
      </c>
      <c r="D380" s="3" t="s">
        <v>32</v>
      </c>
      <c r="E380" s="3" t="s">
        <v>810</v>
      </c>
      <c r="F380" s="5" t="s">
        <v>811</v>
      </c>
      <c r="G380" s="3">
        <f t="array" ref="G380">SUMPRODUCT(--(TRIM($E$2:$E$421)=TRIM(E380)))</f>
        <v>1</v>
      </c>
      <c r="H380" s="3" t="s">
        <v>14</v>
      </c>
      <c r="I380" s="3" t="s">
        <v>110</v>
      </c>
      <c r="J380" s="3"/>
      <c r="K380" s="3"/>
      <c r="L380" s="3"/>
      <c r="M380" s="3"/>
      <c r="N380" s="3"/>
      <c r="O380" s="3"/>
      <c r="P380" s="3"/>
      <c r="Q380" s="3"/>
      <c r="R380" s="3"/>
      <c r="S380" s="3"/>
      <c r="T380" s="3"/>
      <c r="U380" s="3"/>
      <c r="V380" s="3"/>
      <c r="W380" s="3"/>
      <c r="X380" s="3"/>
      <c r="Y380" s="3"/>
      <c r="Z380" s="3"/>
    </row>
    <row r="381" ht="27.0" customHeight="1">
      <c r="A381" s="3" t="s">
        <v>9</v>
      </c>
      <c r="B381" s="4" t="s">
        <v>732</v>
      </c>
      <c r="C381" s="1">
        <v>40.0</v>
      </c>
      <c r="D381" s="3" t="s">
        <v>32</v>
      </c>
      <c r="E381" s="5" t="s">
        <v>103</v>
      </c>
      <c r="F381" s="5" t="s">
        <v>104</v>
      </c>
      <c r="G381" s="3">
        <f t="array" ref="G381">SUMPRODUCT(--(TRIM($E$2:$E$421)=TRIM(E381)))</f>
        <v>4</v>
      </c>
      <c r="H381" s="3" t="s">
        <v>105</v>
      </c>
      <c r="I381" s="3" t="s">
        <v>106</v>
      </c>
      <c r="J381" s="5"/>
      <c r="K381" s="3"/>
      <c r="L381" s="3"/>
      <c r="M381" s="3"/>
      <c r="N381" s="3"/>
      <c r="O381" s="3"/>
      <c r="P381" s="3"/>
      <c r="Q381" s="3"/>
      <c r="R381" s="3"/>
      <c r="S381" s="3"/>
      <c r="T381" s="3"/>
      <c r="U381" s="3"/>
      <c r="V381" s="3"/>
      <c r="W381" s="3"/>
      <c r="X381" s="3"/>
      <c r="Y381" s="3"/>
      <c r="Z381" s="3"/>
    </row>
    <row r="382" ht="27.0" customHeight="1">
      <c r="A382" s="3" t="s">
        <v>9</v>
      </c>
      <c r="B382" s="4" t="s">
        <v>812</v>
      </c>
      <c r="C382" s="1">
        <v>1.0</v>
      </c>
      <c r="D382" s="3" t="s">
        <v>680</v>
      </c>
      <c r="E382" s="5" t="s">
        <v>12</v>
      </c>
      <c r="F382" s="5" t="s">
        <v>813</v>
      </c>
      <c r="G382" s="3">
        <f t="array" ref="G382">SUMPRODUCT(--(TRIM($E$2:$E$421)=TRIM(E382)))</f>
        <v>5</v>
      </c>
      <c r="H382" s="3" t="s">
        <v>14</v>
      </c>
      <c r="I382" s="3" t="s">
        <v>15</v>
      </c>
      <c r="J382" s="5"/>
      <c r="K382" s="3"/>
      <c r="L382" s="3"/>
      <c r="M382" s="3"/>
      <c r="N382" s="3"/>
      <c r="O382" s="3"/>
      <c r="P382" s="3"/>
      <c r="Q382" s="3"/>
      <c r="R382" s="3"/>
      <c r="S382" s="3"/>
      <c r="T382" s="3"/>
      <c r="U382" s="3"/>
      <c r="V382" s="3"/>
      <c r="W382" s="3"/>
      <c r="X382" s="3"/>
      <c r="Y382" s="3"/>
      <c r="Z382" s="3"/>
    </row>
    <row r="383" ht="27.0" customHeight="1">
      <c r="A383" s="3" t="s">
        <v>9</v>
      </c>
      <c r="B383" s="4" t="s">
        <v>812</v>
      </c>
      <c r="C383" s="1">
        <v>2.0</v>
      </c>
      <c r="D383" s="3" t="s">
        <v>16</v>
      </c>
      <c r="E383" s="5" t="s">
        <v>17</v>
      </c>
      <c r="F383" s="5" t="s">
        <v>18</v>
      </c>
      <c r="G383" s="3">
        <f t="array" ref="G383">SUMPRODUCT(--(TRIM($E$2:$E$421)=TRIM(E383)))</f>
        <v>6</v>
      </c>
      <c r="H383" s="3" t="s">
        <v>14</v>
      </c>
      <c r="I383" s="3" t="s">
        <v>15</v>
      </c>
      <c r="J383" s="5"/>
      <c r="K383" s="3"/>
      <c r="L383" s="3"/>
      <c r="M383" s="3"/>
      <c r="N383" s="3"/>
      <c r="O383" s="3"/>
      <c r="P383" s="3"/>
      <c r="Q383" s="3"/>
      <c r="R383" s="3"/>
      <c r="S383" s="3"/>
      <c r="T383" s="3"/>
      <c r="U383" s="3"/>
      <c r="V383" s="3"/>
      <c r="W383" s="3"/>
      <c r="X383" s="3"/>
      <c r="Y383" s="3"/>
      <c r="Z383" s="3"/>
    </row>
    <row r="384" ht="27.0" customHeight="1">
      <c r="A384" s="3" t="s">
        <v>9</v>
      </c>
      <c r="B384" s="4" t="s">
        <v>812</v>
      </c>
      <c r="C384" s="1">
        <v>3.0</v>
      </c>
      <c r="D384" s="3" t="s">
        <v>814</v>
      </c>
      <c r="E384" s="5" t="s">
        <v>20</v>
      </c>
      <c r="F384" s="5" t="s">
        <v>21</v>
      </c>
      <c r="G384" s="3">
        <f t="array" ref="G384">SUMPRODUCT(--(TRIM($E$2:$E$421)=TRIM(E384)))</f>
        <v>3</v>
      </c>
      <c r="H384" s="3" t="s">
        <v>22</v>
      </c>
      <c r="I384" s="3" t="s">
        <v>28</v>
      </c>
      <c r="J384" s="5"/>
      <c r="K384" s="3"/>
      <c r="L384" s="3"/>
      <c r="M384" s="3"/>
      <c r="N384" s="3"/>
      <c r="O384" s="3"/>
      <c r="P384" s="3"/>
      <c r="Q384" s="3"/>
      <c r="R384" s="3"/>
      <c r="S384" s="3"/>
      <c r="T384" s="3"/>
      <c r="U384" s="3"/>
      <c r="V384" s="3"/>
      <c r="W384" s="3"/>
      <c r="X384" s="3"/>
      <c r="Y384" s="3"/>
      <c r="Z384" s="3"/>
    </row>
    <row r="385" ht="27.0" customHeight="1">
      <c r="A385" s="3" t="s">
        <v>9</v>
      </c>
      <c r="B385" s="4" t="s">
        <v>812</v>
      </c>
      <c r="C385" s="1">
        <v>4.0</v>
      </c>
      <c r="D385" s="3" t="s">
        <v>682</v>
      </c>
      <c r="E385" s="3" t="s">
        <v>683</v>
      </c>
      <c r="F385" s="5" t="s">
        <v>815</v>
      </c>
      <c r="G385" s="3">
        <f t="array" ref="G385">SUMPRODUCT(--(TRIM($E$2:$E$421)=TRIM(E385)))</f>
        <v>2</v>
      </c>
      <c r="H385" s="3" t="s">
        <v>27</v>
      </c>
      <c r="I385" s="3" t="s">
        <v>28</v>
      </c>
      <c r="J385" s="5"/>
      <c r="K385" s="3"/>
      <c r="L385" s="3"/>
      <c r="M385" s="3"/>
      <c r="N385" s="3"/>
      <c r="O385" s="3"/>
      <c r="P385" s="3"/>
      <c r="Q385" s="3"/>
      <c r="R385" s="3"/>
      <c r="S385" s="3"/>
      <c r="T385" s="3"/>
      <c r="U385" s="3"/>
      <c r="V385" s="3"/>
      <c r="W385" s="3"/>
      <c r="X385" s="3"/>
      <c r="Y385" s="3"/>
      <c r="Z385" s="3"/>
    </row>
    <row r="386" ht="27.0" customHeight="1">
      <c r="A386" s="3" t="s">
        <v>9</v>
      </c>
      <c r="B386" s="4" t="s">
        <v>812</v>
      </c>
      <c r="C386" s="1">
        <v>5.0</v>
      </c>
      <c r="D386" s="3" t="s">
        <v>32</v>
      </c>
      <c r="E386" s="3" t="s">
        <v>685</v>
      </c>
      <c r="F386" s="5" t="s">
        <v>816</v>
      </c>
      <c r="G386" s="3">
        <f t="array" ref="G386">SUMPRODUCT(--(TRIM($E$2:$E$421)=TRIM(E386)))</f>
        <v>2</v>
      </c>
      <c r="H386" s="3" t="s">
        <v>27</v>
      </c>
      <c r="I386" s="3" t="s">
        <v>28</v>
      </c>
      <c r="J386" s="5"/>
      <c r="K386" s="3"/>
      <c r="L386" s="3"/>
      <c r="M386" s="3"/>
      <c r="N386" s="3"/>
      <c r="O386" s="3"/>
      <c r="P386" s="3"/>
      <c r="Q386" s="3"/>
      <c r="R386" s="3"/>
      <c r="S386" s="3"/>
      <c r="T386" s="3"/>
      <c r="U386" s="3"/>
      <c r="V386" s="3"/>
      <c r="W386" s="3"/>
      <c r="X386" s="3"/>
      <c r="Y386" s="3"/>
      <c r="Z386" s="3"/>
    </row>
    <row r="387" ht="27.0" customHeight="1">
      <c r="A387" s="3" t="s">
        <v>9</v>
      </c>
      <c r="B387" s="4" t="s">
        <v>812</v>
      </c>
      <c r="C387" s="1">
        <v>6.0</v>
      </c>
      <c r="D387" s="3" t="s">
        <v>29</v>
      </c>
      <c r="E387" s="5" t="s">
        <v>30</v>
      </c>
      <c r="F387" s="5" t="s">
        <v>31</v>
      </c>
      <c r="G387" s="3">
        <f t="array" ref="G387">SUMPRODUCT(--(TRIM($E$2:$E$421)=TRIM(E387)))</f>
        <v>5</v>
      </c>
      <c r="H387" s="3" t="s">
        <v>27</v>
      </c>
      <c r="I387" s="3" t="s">
        <v>28</v>
      </c>
      <c r="J387" s="5"/>
      <c r="K387" s="3"/>
      <c r="L387" s="3"/>
      <c r="M387" s="3"/>
      <c r="N387" s="3"/>
      <c r="O387" s="3"/>
      <c r="P387" s="3"/>
      <c r="Q387" s="3"/>
      <c r="R387" s="3"/>
      <c r="S387" s="3"/>
      <c r="T387" s="3"/>
      <c r="U387" s="3"/>
      <c r="V387" s="3"/>
      <c r="W387" s="3"/>
      <c r="X387" s="3"/>
      <c r="Y387" s="3"/>
      <c r="Z387" s="3"/>
    </row>
    <row r="388" ht="27.0" customHeight="1">
      <c r="A388" s="3" t="s">
        <v>9</v>
      </c>
      <c r="B388" s="4" t="s">
        <v>812</v>
      </c>
      <c r="C388" s="1">
        <v>7.0</v>
      </c>
      <c r="D388" s="3" t="s">
        <v>187</v>
      </c>
      <c r="E388" s="5" t="s">
        <v>188</v>
      </c>
      <c r="F388" s="5" t="s">
        <v>189</v>
      </c>
      <c r="G388" s="3">
        <f t="array" ref="G388">SUMPRODUCT(--(TRIM($E$2:$E$421)=TRIM(E388)))</f>
        <v>3</v>
      </c>
      <c r="H388" s="3" t="s">
        <v>22</v>
      </c>
      <c r="I388" s="3" t="s">
        <v>28</v>
      </c>
      <c r="J388" s="5"/>
      <c r="K388" s="3"/>
      <c r="L388" s="3"/>
      <c r="M388" s="3"/>
      <c r="N388" s="3"/>
      <c r="O388" s="3"/>
      <c r="P388" s="3"/>
      <c r="Q388" s="3"/>
      <c r="R388" s="3"/>
      <c r="S388" s="3"/>
      <c r="T388" s="3"/>
      <c r="U388" s="3"/>
      <c r="V388" s="3"/>
      <c r="W388" s="3"/>
      <c r="X388" s="3"/>
      <c r="Y388" s="3"/>
      <c r="Z388" s="3"/>
    </row>
    <row r="389" ht="27.0" customHeight="1">
      <c r="A389" s="3" t="s">
        <v>9</v>
      </c>
      <c r="B389" s="4" t="s">
        <v>812</v>
      </c>
      <c r="C389" s="1">
        <v>8.0</v>
      </c>
      <c r="D389" s="3" t="s">
        <v>817</v>
      </c>
      <c r="E389" s="5" t="s">
        <v>283</v>
      </c>
      <c r="F389" s="5" t="s">
        <v>284</v>
      </c>
      <c r="G389" s="3">
        <f t="array" ref="G389">SUMPRODUCT(--(TRIM($E$2:$E$421)=TRIM(E389)))</f>
        <v>2</v>
      </c>
      <c r="H389" s="3" t="s">
        <v>59</v>
      </c>
      <c r="I389" s="3" t="s">
        <v>60</v>
      </c>
      <c r="J389" s="5"/>
      <c r="K389" s="3"/>
      <c r="L389" s="3"/>
      <c r="M389" s="3"/>
      <c r="N389" s="3"/>
      <c r="O389" s="3"/>
      <c r="P389" s="3"/>
      <c r="Q389" s="3"/>
      <c r="R389" s="3"/>
      <c r="S389" s="3"/>
      <c r="T389" s="3"/>
      <c r="U389" s="3"/>
      <c r="V389" s="3"/>
      <c r="W389" s="3"/>
      <c r="X389" s="3"/>
      <c r="Y389" s="3"/>
      <c r="Z389" s="3"/>
    </row>
    <row r="390" ht="27.0" customHeight="1">
      <c r="A390" s="3" t="s">
        <v>9</v>
      </c>
      <c r="B390" s="4" t="s">
        <v>812</v>
      </c>
      <c r="C390" s="1">
        <v>9.0</v>
      </c>
      <c r="D390" s="3" t="s">
        <v>32</v>
      </c>
      <c r="E390" s="5" t="s">
        <v>203</v>
      </c>
      <c r="F390" s="5" t="s">
        <v>204</v>
      </c>
      <c r="G390" s="3">
        <f t="array" ref="G390">SUMPRODUCT(--(TRIM($E$2:$E$421)=TRIM(E390)))</f>
        <v>3</v>
      </c>
      <c r="H390" s="3" t="s">
        <v>39</v>
      </c>
      <c r="I390" s="3" t="s">
        <v>40</v>
      </c>
      <c r="J390" s="5"/>
      <c r="K390" s="3"/>
      <c r="L390" s="3"/>
      <c r="M390" s="3"/>
      <c r="N390" s="3"/>
      <c r="O390" s="3"/>
      <c r="P390" s="3"/>
      <c r="Q390" s="3"/>
      <c r="R390" s="3"/>
      <c r="S390" s="3"/>
      <c r="T390" s="3"/>
      <c r="U390" s="3"/>
      <c r="V390" s="3"/>
      <c r="W390" s="3"/>
      <c r="X390" s="3"/>
      <c r="Y390" s="3"/>
      <c r="Z390" s="3"/>
    </row>
    <row r="391" ht="27.0" customHeight="1">
      <c r="A391" s="3" t="s">
        <v>9</v>
      </c>
      <c r="B391" s="4" t="s">
        <v>812</v>
      </c>
      <c r="C391" s="1">
        <v>10.0</v>
      </c>
      <c r="D391" s="3" t="s">
        <v>818</v>
      </c>
      <c r="E391" s="5" t="s">
        <v>174</v>
      </c>
      <c r="F391" s="5" t="s">
        <v>175</v>
      </c>
      <c r="G391" s="3">
        <f t="array" ref="G391">SUMPRODUCT(--(TRIM($E$2:$E$421)=TRIM(E391)))</f>
        <v>3</v>
      </c>
      <c r="H391" s="3" t="s">
        <v>64</v>
      </c>
      <c r="I391" s="3" t="s">
        <v>176</v>
      </c>
      <c r="J391" s="5"/>
      <c r="K391" s="3"/>
      <c r="L391" s="3"/>
      <c r="M391" s="3"/>
      <c r="N391" s="3"/>
      <c r="O391" s="3"/>
      <c r="P391" s="3"/>
      <c r="Q391" s="3"/>
      <c r="R391" s="3"/>
      <c r="S391" s="3"/>
      <c r="T391" s="3"/>
      <c r="U391" s="3"/>
      <c r="V391" s="3"/>
      <c r="W391" s="3"/>
      <c r="X391" s="3"/>
      <c r="Y391" s="3"/>
      <c r="Z391" s="3"/>
    </row>
    <row r="392" ht="27.0" customHeight="1">
      <c r="A392" s="3" t="s">
        <v>9</v>
      </c>
      <c r="B392" s="4" t="s">
        <v>812</v>
      </c>
      <c r="C392" s="1">
        <v>11.0</v>
      </c>
      <c r="D392" s="3" t="s">
        <v>32</v>
      </c>
      <c r="E392" s="3" t="s">
        <v>751</v>
      </c>
      <c r="F392" s="5" t="s">
        <v>752</v>
      </c>
      <c r="G392" s="3">
        <f t="array" ref="G392">SUMPRODUCT(--(TRIM($E$2:$E$421)=TRIM(E392)))</f>
        <v>2</v>
      </c>
      <c r="H392" s="3" t="s">
        <v>59</v>
      </c>
      <c r="I392" s="3" t="s">
        <v>60</v>
      </c>
      <c r="J392" s="5"/>
      <c r="K392" s="3"/>
      <c r="L392" s="3"/>
      <c r="M392" s="3"/>
      <c r="N392" s="3"/>
      <c r="O392" s="3"/>
      <c r="P392" s="3"/>
      <c r="Q392" s="3"/>
      <c r="R392" s="3"/>
      <c r="S392" s="3"/>
      <c r="T392" s="3"/>
      <c r="U392" s="3"/>
      <c r="V392" s="3"/>
      <c r="W392" s="3"/>
      <c r="X392" s="3"/>
      <c r="Y392" s="3"/>
      <c r="Z392" s="3"/>
    </row>
    <row r="393" ht="27.0" customHeight="1">
      <c r="A393" s="3" t="s">
        <v>9</v>
      </c>
      <c r="B393" s="4" t="s">
        <v>812</v>
      </c>
      <c r="C393" s="1">
        <v>12.0</v>
      </c>
      <c r="D393" s="3" t="s">
        <v>819</v>
      </c>
      <c r="E393" s="5" t="s">
        <v>42</v>
      </c>
      <c r="F393" s="5" t="s">
        <v>43</v>
      </c>
      <c r="G393" s="3">
        <f t="array" ref="G393">SUMPRODUCT(--(TRIM($E$2:$E$421)=TRIM(E393)))</f>
        <v>5</v>
      </c>
      <c r="H393" s="3" t="s">
        <v>54</v>
      </c>
      <c r="I393" s="3" t="s">
        <v>45</v>
      </c>
      <c r="J393" s="5"/>
      <c r="K393" s="3"/>
      <c r="L393" s="3"/>
      <c r="M393" s="3"/>
      <c r="N393" s="3"/>
      <c r="O393" s="3"/>
      <c r="P393" s="3"/>
      <c r="Q393" s="3"/>
      <c r="R393" s="3"/>
      <c r="S393" s="3"/>
      <c r="T393" s="3"/>
      <c r="U393" s="3"/>
      <c r="V393" s="3"/>
      <c r="W393" s="3"/>
      <c r="X393" s="3"/>
      <c r="Y393" s="3"/>
      <c r="Z393" s="3"/>
    </row>
    <row r="394" ht="27.0" customHeight="1">
      <c r="A394" s="3" t="s">
        <v>9</v>
      </c>
      <c r="B394" s="4" t="s">
        <v>812</v>
      </c>
      <c r="C394" s="1">
        <v>13.0</v>
      </c>
      <c r="D394" s="3" t="s">
        <v>32</v>
      </c>
      <c r="E394" s="5" t="s">
        <v>310</v>
      </c>
      <c r="F394" s="5" t="s">
        <v>820</v>
      </c>
      <c r="G394" s="3">
        <f t="array" ref="G394">SUMPRODUCT(--(TRIM($E$2:$E$421)=TRIM(E394)))</f>
        <v>3</v>
      </c>
      <c r="H394" s="3" t="s">
        <v>59</v>
      </c>
      <c r="I394" s="3" t="s">
        <v>60</v>
      </c>
      <c r="J394" s="5"/>
      <c r="K394" s="3"/>
      <c r="L394" s="3"/>
      <c r="M394" s="3"/>
      <c r="N394" s="3"/>
      <c r="O394" s="3"/>
      <c r="P394" s="3"/>
      <c r="Q394" s="3"/>
      <c r="R394" s="3"/>
      <c r="S394" s="3"/>
      <c r="T394" s="3"/>
      <c r="U394" s="3"/>
      <c r="V394" s="3"/>
      <c r="W394" s="3"/>
      <c r="X394" s="3"/>
      <c r="Y394" s="3"/>
      <c r="Z394" s="3"/>
    </row>
    <row r="395" ht="27.0" customHeight="1">
      <c r="A395" s="3" t="s">
        <v>9</v>
      </c>
      <c r="B395" s="4" t="s">
        <v>812</v>
      </c>
      <c r="C395" s="1">
        <v>14.0</v>
      </c>
      <c r="D395" s="3" t="s">
        <v>821</v>
      </c>
      <c r="E395" s="5" t="s">
        <v>132</v>
      </c>
      <c r="F395" s="5" t="s">
        <v>133</v>
      </c>
      <c r="G395" s="3">
        <f t="array" ref="G395">SUMPRODUCT(--(TRIM($E$2:$E$421)=TRIM(E395)))</f>
        <v>3</v>
      </c>
      <c r="H395" s="3" t="s">
        <v>141</v>
      </c>
      <c r="I395" s="3" t="s">
        <v>74</v>
      </c>
      <c r="J395" s="5"/>
      <c r="K395" s="3"/>
      <c r="L395" s="3"/>
      <c r="M395" s="3"/>
      <c r="N395" s="3"/>
      <c r="O395" s="3"/>
      <c r="P395" s="3"/>
      <c r="Q395" s="3"/>
      <c r="R395" s="3"/>
      <c r="S395" s="3"/>
      <c r="T395" s="3"/>
      <c r="U395" s="3"/>
      <c r="V395" s="3"/>
      <c r="W395" s="3"/>
      <c r="X395" s="3"/>
      <c r="Y395" s="3"/>
      <c r="Z395" s="3"/>
    </row>
    <row r="396" ht="27.0" customHeight="1">
      <c r="A396" s="3" t="s">
        <v>9</v>
      </c>
      <c r="B396" s="4" t="s">
        <v>812</v>
      </c>
      <c r="C396" s="1">
        <v>15.0</v>
      </c>
      <c r="D396" s="3" t="s">
        <v>32</v>
      </c>
      <c r="E396" s="5" t="s">
        <v>75</v>
      </c>
      <c r="F396" s="5" t="s">
        <v>76</v>
      </c>
      <c r="G396" s="3">
        <f t="array" ref="G396">SUMPRODUCT(--(TRIM($E$2:$E$421)=TRIM(E396)))</f>
        <v>5</v>
      </c>
      <c r="H396" s="3" t="s">
        <v>39</v>
      </c>
      <c r="I396" s="3" t="s">
        <v>40</v>
      </c>
      <c r="J396" s="5"/>
      <c r="K396" s="3"/>
      <c r="L396" s="3"/>
      <c r="M396" s="3"/>
      <c r="N396" s="3"/>
      <c r="O396" s="3"/>
      <c r="P396" s="3"/>
      <c r="Q396" s="3"/>
      <c r="R396" s="3"/>
      <c r="S396" s="3"/>
      <c r="T396" s="3"/>
      <c r="U396" s="3"/>
      <c r="V396" s="3"/>
      <c r="W396" s="3"/>
      <c r="X396" s="3"/>
      <c r="Y396" s="3"/>
      <c r="Z396" s="3"/>
    </row>
    <row r="397" ht="27.0" customHeight="1">
      <c r="A397" s="3" t="s">
        <v>9</v>
      </c>
      <c r="B397" s="4" t="s">
        <v>812</v>
      </c>
      <c r="C397" s="1">
        <v>16.0</v>
      </c>
      <c r="D397" s="3" t="s">
        <v>822</v>
      </c>
      <c r="E397" s="5" t="s">
        <v>78</v>
      </c>
      <c r="F397" s="5" t="s">
        <v>79</v>
      </c>
      <c r="G397" s="3">
        <f t="array" ref="G397">SUMPRODUCT(--(TRIM($E$2:$E$421)=TRIM(E397)))</f>
        <v>5</v>
      </c>
      <c r="H397" s="3" t="s">
        <v>22</v>
      </c>
      <c r="I397" s="3" t="s">
        <v>80</v>
      </c>
      <c r="J397" s="5"/>
      <c r="K397" s="3"/>
      <c r="L397" s="3"/>
      <c r="M397" s="3"/>
      <c r="N397" s="3"/>
      <c r="O397" s="3"/>
      <c r="P397" s="3"/>
      <c r="Q397" s="3"/>
      <c r="R397" s="3"/>
      <c r="S397" s="3"/>
      <c r="T397" s="3"/>
      <c r="U397" s="3"/>
      <c r="V397" s="3"/>
      <c r="W397" s="3"/>
      <c r="X397" s="3"/>
      <c r="Y397" s="3"/>
      <c r="Z397" s="3"/>
    </row>
    <row r="398" ht="27.0" customHeight="1">
      <c r="A398" s="3" t="s">
        <v>9</v>
      </c>
      <c r="B398" s="4" t="s">
        <v>812</v>
      </c>
      <c r="C398" s="1">
        <v>17.0</v>
      </c>
      <c r="D398" s="3" t="s">
        <v>823</v>
      </c>
      <c r="E398" s="5" t="s">
        <v>271</v>
      </c>
      <c r="F398" s="5" t="s">
        <v>272</v>
      </c>
      <c r="G398" s="3">
        <f t="array" ref="G398">SUMPRODUCT(--(TRIM($E$2:$E$421)=TRIM(E398)))</f>
        <v>3</v>
      </c>
      <c r="H398" s="3" t="s">
        <v>35</v>
      </c>
      <c r="I398" s="3" t="s">
        <v>36</v>
      </c>
      <c r="J398" s="5"/>
      <c r="K398" s="3"/>
      <c r="L398" s="3"/>
      <c r="M398" s="3"/>
      <c r="N398" s="3"/>
      <c r="O398" s="3"/>
      <c r="P398" s="3"/>
      <c r="Q398" s="3"/>
      <c r="R398" s="3"/>
      <c r="S398" s="3"/>
      <c r="T398" s="3"/>
      <c r="U398" s="3"/>
      <c r="V398" s="3"/>
      <c r="W398" s="3"/>
      <c r="X398" s="3"/>
      <c r="Y398" s="3"/>
      <c r="Z398" s="3"/>
    </row>
    <row r="399" ht="27.0" customHeight="1">
      <c r="A399" s="3" t="s">
        <v>9</v>
      </c>
      <c r="B399" s="4" t="s">
        <v>812</v>
      </c>
      <c r="C399" s="1">
        <v>18.0</v>
      </c>
      <c r="D399" s="3" t="s">
        <v>824</v>
      </c>
      <c r="E399" s="5" t="s">
        <v>85</v>
      </c>
      <c r="F399" s="5" t="s">
        <v>86</v>
      </c>
      <c r="G399" s="3">
        <f t="array" ref="G399">SUMPRODUCT(--(TRIM($E$2:$E$421)=TRIM(E399)))</f>
        <v>5</v>
      </c>
      <c r="H399" s="3" t="s">
        <v>87</v>
      </c>
      <c r="I399" s="3" t="s">
        <v>88</v>
      </c>
      <c r="J399" s="5"/>
      <c r="K399" s="3"/>
      <c r="L399" s="3"/>
      <c r="M399" s="3"/>
      <c r="N399" s="3"/>
      <c r="O399" s="3"/>
      <c r="P399" s="3"/>
      <c r="Q399" s="3"/>
      <c r="R399" s="3"/>
      <c r="S399" s="3"/>
      <c r="T399" s="3"/>
      <c r="U399" s="3"/>
      <c r="V399" s="3"/>
      <c r="W399" s="3"/>
      <c r="X399" s="3"/>
      <c r="Y399" s="3"/>
      <c r="Z399" s="3"/>
    </row>
    <row r="400" ht="27.0" customHeight="1">
      <c r="A400" s="3" t="s">
        <v>9</v>
      </c>
      <c r="B400" s="4" t="s">
        <v>812</v>
      </c>
      <c r="C400" s="1">
        <v>19.0</v>
      </c>
      <c r="D400" s="3" t="s">
        <v>32</v>
      </c>
      <c r="E400" s="3" t="s">
        <v>724</v>
      </c>
      <c r="F400" s="5" t="s">
        <v>825</v>
      </c>
      <c r="G400" s="3">
        <f t="array" ref="G400">SUMPRODUCT(--(TRIM($E$2:$E$421)=TRIM(E400)))</f>
        <v>2</v>
      </c>
      <c r="H400" s="3" t="s">
        <v>317</v>
      </c>
      <c r="I400" s="3" t="s">
        <v>137</v>
      </c>
      <c r="J400" s="5"/>
      <c r="K400" s="3"/>
      <c r="L400" s="3"/>
      <c r="M400" s="3"/>
      <c r="N400" s="3"/>
      <c r="O400" s="3"/>
      <c r="P400" s="3"/>
      <c r="Q400" s="3"/>
      <c r="R400" s="3"/>
      <c r="S400" s="3"/>
      <c r="T400" s="3"/>
      <c r="U400" s="3"/>
      <c r="V400" s="3"/>
      <c r="W400" s="3"/>
      <c r="X400" s="3"/>
      <c r="Y400" s="3"/>
      <c r="Z400" s="3"/>
    </row>
    <row r="401" ht="27.0" customHeight="1">
      <c r="A401" s="3" t="s">
        <v>9</v>
      </c>
      <c r="B401" s="4" t="s">
        <v>812</v>
      </c>
      <c r="C401" s="1">
        <v>20.0</v>
      </c>
      <c r="D401" s="3" t="s">
        <v>32</v>
      </c>
      <c r="E401" s="5" t="s">
        <v>826</v>
      </c>
      <c r="F401" s="5" t="s">
        <v>827</v>
      </c>
      <c r="G401" s="3">
        <f t="array" ref="G401">SUMPRODUCT(--(TRIM($E$2:$E$421)=TRIM(E401)))</f>
        <v>1</v>
      </c>
      <c r="H401" s="3" t="s">
        <v>828</v>
      </c>
      <c r="I401" s="3" t="s">
        <v>151</v>
      </c>
      <c r="J401" s="5"/>
      <c r="K401" s="3"/>
      <c r="L401" s="3"/>
      <c r="M401" s="3"/>
      <c r="N401" s="3"/>
      <c r="O401" s="3"/>
      <c r="P401" s="3"/>
      <c r="Q401" s="3"/>
      <c r="R401" s="3"/>
      <c r="S401" s="3"/>
      <c r="T401" s="3"/>
      <c r="U401" s="3"/>
      <c r="V401" s="3"/>
      <c r="W401" s="3"/>
      <c r="X401" s="3"/>
      <c r="Y401" s="3"/>
      <c r="Z401" s="3"/>
    </row>
    <row r="402" ht="27.0" customHeight="1">
      <c r="A402" s="3" t="s">
        <v>9</v>
      </c>
      <c r="B402" s="4" t="s">
        <v>812</v>
      </c>
      <c r="C402" s="1">
        <v>21.0</v>
      </c>
      <c r="D402" s="3" t="s">
        <v>96</v>
      </c>
      <c r="E402" s="5" t="s">
        <v>97</v>
      </c>
      <c r="F402" s="5" t="s">
        <v>98</v>
      </c>
      <c r="G402" s="3">
        <f t="array" ref="G402">SUMPRODUCT(--(TRIM($E$2:$E$421)=TRIM(E402)))</f>
        <v>6</v>
      </c>
      <c r="H402" s="3" t="s">
        <v>39</v>
      </c>
      <c r="I402" s="3" t="s">
        <v>40</v>
      </c>
      <c r="J402" s="5"/>
      <c r="K402" s="3"/>
      <c r="L402" s="3"/>
      <c r="M402" s="3"/>
      <c r="N402" s="3"/>
      <c r="O402" s="3"/>
      <c r="P402" s="3"/>
      <c r="Q402" s="3"/>
      <c r="R402" s="3"/>
      <c r="S402" s="3"/>
      <c r="T402" s="3"/>
      <c r="U402" s="3"/>
      <c r="V402" s="3"/>
      <c r="W402" s="3"/>
      <c r="X402" s="3"/>
      <c r="Y402" s="3"/>
      <c r="Z402" s="3"/>
    </row>
    <row r="403" ht="27.0" customHeight="1">
      <c r="A403" s="3" t="s">
        <v>9</v>
      </c>
      <c r="B403" s="4" t="s">
        <v>812</v>
      </c>
      <c r="C403" s="1">
        <v>22.0</v>
      </c>
      <c r="D403" s="3" t="s">
        <v>829</v>
      </c>
      <c r="E403" s="5" t="s">
        <v>108</v>
      </c>
      <c r="F403" s="5" t="s">
        <v>109</v>
      </c>
      <c r="G403" s="3">
        <f t="array" ref="G403">SUMPRODUCT(--(TRIM($E$2:$E$421)=TRIM(E403)))</f>
        <v>7</v>
      </c>
      <c r="H403" s="3" t="s">
        <v>14</v>
      </c>
      <c r="I403" s="3" t="s">
        <v>110</v>
      </c>
      <c r="J403" s="5"/>
      <c r="K403" s="3"/>
      <c r="L403" s="3"/>
      <c r="M403" s="3"/>
      <c r="N403" s="3"/>
      <c r="O403" s="3"/>
      <c r="P403" s="3"/>
      <c r="Q403" s="3"/>
      <c r="R403" s="3"/>
      <c r="S403" s="3"/>
      <c r="T403" s="3"/>
      <c r="U403" s="3"/>
      <c r="V403" s="3"/>
      <c r="W403" s="3"/>
      <c r="X403" s="3"/>
      <c r="Y403" s="3"/>
      <c r="Z403" s="3"/>
    </row>
    <row r="404" ht="27.0" customHeight="1">
      <c r="A404" s="3" t="s">
        <v>9</v>
      </c>
      <c r="B404" s="4" t="s">
        <v>812</v>
      </c>
      <c r="C404" s="1">
        <v>23.0</v>
      </c>
      <c r="D404" s="3" t="s">
        <v>707</v>
      </c>
      <c r="E404" s="5" t="s">
        <v>253</v>
      </c>
      <c r="F404" s="5" t="s">
        <v>254</v>
      </c>
      <c r="G404" s="3">
        <f t="array" ref="G404">SUMPRODUCT(--(TRIM($E$2:$E$421)=TRIM(E404)))</f>
        <v>3</v>
      </c>
      <c r="H404" s="3" t="s">
        <v>35</v>
      </c>
      <c r="I404" s="3" t="s">
        <v>36</v>
      </c>
      <c r="J404" s="5"/>
      <c r="K404" s="3"/>
      <c r="L404" s="3"/>
      <c r="M404" s="3"/>
      <c r="N404" s="3"/>
      <c r="O404" s="3"/>
      <c r="P404" s="3"/>
      <c r="Q404" s="3"/>
      <c r="R404" s="3"/>
      <c r="S404" s="3"/>
      <c r="T404" s="3"/>
      <c r="U404" s="3"/>
      <c r="V404" s="3"/>
      <c r="W404" s="3"/>
      <c r="X404" s="3"/>
      <c r="Y404" s="3"/>
      <c r="Z404" s="3"/>
    </row>
    <row r="405" ht="27.0" customHeight="1">
      <c r="A405" s="3" t="s">
        <v>9</v>
      </c>
      <c r="B405" s="4" t="s">
        <v>812</v>
      </c>
      <c r="C405" s="1">
        <v>24.0</v>
      </c>
      <c r="D405" s="3" t="s">
        <v>32</v>
      </c>
      <c r="E405" s="3" t="s">
        <v>719</v>
      </c>
      <c r="F405" s="5" t="s">
        <v>830</v>
      </c>
      <c r="G405" s="3">
        <f t="array" ref="G405">SUMPRODUCT(--(TRIM($E$2:$E$421)=TRIM(E405)))</f>
        <v>2</v>
      </c>
      <c r="H405" s="3" t="s">
        <v>105</v>
      </c>
      <c r="I405" s="3" t="s">
        <v>106</v>
      </c>
      <c r="J405" s="5"/>
      <c r="K405" s="3"/>
      <c r="L405" s="3"/>
      <c r="M405" s="3"/>
      <c r="N405" s="3"/>
      <c r="O405" s="3"/>
      <c r="P405" s="3"/>
      <c r="Q405" s="3"/>
      <c r="R405" s="3"/>
      <c r="S405" s="3"/>
      <c r="T405" s="3"/>
      <c r="U405" s="3"/>
      <c r="V405" s="3"/>
      <c r="W405" s="3"/>
      <c r="X405" s="3"/>
      <c r="Y405" s="3"/>
      <c r="Z405" s="3"/>
    </row>
    <row r="406" ht="27.0" customHeight="1">
      <c r="A406" s="3" t="s">
        <v>9</v>
      </c>
      <c r="B406" s="4" t="s">
        <v>812</v>
      </c>
      <c r="C406" s="1">
        <v>25.0</v>
      </c>
      <c r="D406" s="3" t="s">
        <v>249</v>
      </c>
      <c r="E406" s="5" t="s">
        <v>250</v>
      </c>
      <c r="F406" s="5" t="s">
        <v>251</v>
      </c>
      <c r="G406" s="3">
        <f t="array" ref="G406">SUMPRODUCT(--(TRIM($E$2:$E$421)=TRIM(E406)))</f>
        <v>5</v>
      </c>
      <c r="H406" s="3" t="s">
        <v>214</v>
      </c>
      <c r="I406" s="3" t="s">
        <v>215</v>
      </c>
      <c r="J406" s="5"/>
      <c r="K406" s="3"/>
      <c r="L406" s="3"/>
      <c r="M406" s="3"/>
      <c r="N406" s="3"/>
      <c r="O406" s="3"/>
      <c r="P406" s="3"/>
      <c r="Q406" s="3"/>
      <c r="R406" s="3"/>
      <c r="S406" s="3"/>
      <c r="T406" s="3"/>
      <c r="U406" s="3"/>
      <c r="V406" s="3"/>
      <c r="W406" s="3"/>
      <c r="X406" s="3"/>
      <c r="Y406" s="3"/>
      <c r="Z406" s="3"/>
    </row>
    <row r="407" ht="27.0" customHeight="1">
      <c r="A407" s="3" t="s">
        <v>9</v>
      </c>
      <c r="B407" s="4" t="s">
        <v>812</v>
      </c>
      <c r="C407" s="1">
        <v>26.0</v>
      </c>
      <c r="D407" s="3" t="s">
        <v>32</v>
      </c>
      <c r="E407" s="5" t="s">
        <v>831</v>
      </c>
      <c r="F407" s="5" t="s">
        <v>832</v>
      </c>
      <c r="G407" s="3">
        <f t="array" ref="G407">SUMPRODUCT(--(TRIM($E$2:$E$421)=TRIM(E407)))</f>
        <v>1</v>
      </c>
      <c r="H407" s="3" t="s">
        <v>54</v>
      </c>
      <c r="I407" s="3" t="s">
        <v>102</v>
      </c>
      <c r="J407" s="5"/>
      <c r="K407" s="3"/>
      <c r="L407" s="3"/>
      <c r="M407" s="3"/>
      <c r="N407" s="3"/>
      <c r="O407" s="3"/>
      <c r="P407" s="3"/>
      <c r="Q407" s="3"/>
      <c r="R407" s="3"/>
      <c r="S407" s="3"/>
      <c r="T407" s="3"/>
      <c r="U407" s="3"/>
      <c r="V407" s="3"/>
      <c r="W407" s="3"/>
      <c r="X407" s="3"/>
      <c r="Y407" s="3"/>
      <c r="Z407" s="3"/>
    </row>
    <row r="408" ht="27.0" customHeight="1">
      <c r="A408" s="3" t="s">
        <v>9</v>
      </c>
      <c r="B408" s="4" t="s">
        <v>812</v>
      </c>
      <c r="C408" s="1">
        <v>27.0</v>
      </c>
      <c r="D408" s="3" t="s">
        <v>833</v>
      </c>
      <c r="E408" s="5" t="s">
        <v>289</v>
      </c>
      <c r="F408" s="5" t="s">
        <v>290</v>
      </c>
      <c r="G408" s="3">
        <f t="array" ref="G408">SUMPRODUCT(--(TRIM($E$2:$E$421)=TRIM(E408)))</f>
        <v>2</v>
      </c>
      <c r="H408" s="3" t="s">
        <v>54</v>
      </c>
      <c r="I408" s="3" t="s">
        <v>102</v>
      </c>
      <c r="J408" s="5"/>
      <c r="K408" s="3"/>
      <c r="L408" s="3"/>
      <c r="M408" s="3"/>
      <c r="N408" s="3"/>
      <c r="O408" s="3"/>
      <c r="P408" s="3"/>
      <c r="Q408" s="3"/>
      <c r="R408" s="3"/>
      <c r="S408" s="3"/>
      <c r="T408" s="3"/>
      <c r="U408" s="3"/>
      <c r="V408" s="3"/>
      <c r="W408" s="3"/>
      <c r="X408" s="3"/>
      <c r="Y408" s="3"/>
      <c r="Z408" s="3"/>
    </row>
    <row r="409" ht="27.0" customHeight="1">
      <c r="A409" s="3" t="s">
        <v>9</v>
      </c>
      <c r="B409" s="4" t="s">
        <v>812</v>
      </c>
      <c r="C409" s="1">
        <v>28.0</v>
      </c>
      <c r="D409" s="3" t="s">
        <v>834</v>
      </c>
      <c r="E409" s="3" t="s">
        <v>229</v>
      </c>
      <c r="F409" s="3" t="s">
        <v>229</v>
      </c>
      <c r="G409" s="3">
        <f t="array" ref="G409">SUMPRODUCT(--(TRIM($E$2:$E$421)=TRIM(E409)))</f>
        <v>4</v>
      </c>
      <c r="H409" s="3" t="s">
        <v>835</v>
      </c>
      <c r="I409" s="3" t="s">
        <v>171</v>
      </c>
      <c r="J409" s="5"/>
      <c r="K409" s="3"/>
      <c r="L409" s="3"/>
      <c r="M409" s="3"/>
      <c r="N409" s="3"/>
      <c r="O409" s="3"/>
      <c r="P409" s="3"/>
      <c r="Q409" s="3"/>
      <c r="R409" s="3"/>
      <c r="S409" s="3"/>
      <c r="T409" s="3"/>
      <c r="U409" s="3"/>
      <c r="V409" s="3"/>
      <c r="W409" s="3"/>
      <c r="X409" s="3"/>
      <c r="Y409" s="3"/>
      <c r="Z409" s="3"/>
    </row>
    <row r="410" ht="27.0" customHeight="1">
      <c r="A410" s="3" t="s">
        <v>9</v>
      </c>
      <c r="B410" s="4" t="s">
        <v>812</v>
      </c>
      <c r="C410" s="1">
        <v>29.0</v>
      </c>
      <c r="D410" s="3" t="s">
        <v>32</v>
      </c>
      <c r="E410" s="5" t="s">
        <v>836</v>
      </c>
      <c r="F410" s="5" t="s">
        <v>837</v>
      </c>
      <c r="G410" s="3">
        <f t="array" ref="G410">SUMPRODUCT(--(TRIM($E$2:$E$421)=TRIM(E410)))</f>
        <v>1</v>
      </c>
      <c r="H410" s="3" t="s">
        <v>73</v>
      </c>
      <c r="I410" s="3" t="s">
        <v>74</v>
      </c>
      <c r="J410" s="5"/>
      <c r="K410" s="3"/>
      <c r="L410" s="3"/>
      <c r="M410" s="3"/>
      <c r="N410" s="3"/>
      <c r="O410" s="3"/>
      <c r="P410" s="3"/>
      <c r="Q410" s="3"/>
      <c r="R410" s="3"/>
      <c r="S410" s="3"/>
      <c r="T410" s="3"/>
      <c r="U410" s="3"/>
      <c r="V410" s="3"/>
      <c r="W410" s="3"/>
      <c r="X410" s="3"/>
      <c r="Y410" s="3"/>
      <c r="Z410" s="3"/>
    </row>
    <row r="411" ht="27.0" customHeight="1">
      <c r="A411" s="3" t="s">
        <v>9</v>
      </c>
      <c r="B411" s="4" t="s">
        <v>812</v>
      </c>
      <c r="C411" s="1">
        <v>30.0</v>
      </c>
      <c r="D411" s="3" t="s">
        <v>714</v>
      </c>
      <c r="E411" s="5" t="s">
        <v>220</v>
      </c>
      <c r="F411" s="5" t="s">
        <v>221</v>
      </c>
      <c r="G411" s="3">
        <f t="array" ref="G411">SUMPRODUCT(--(TRIM($E$2:$E$421)=TRIM(E411)))</f>
        <v>4</v>
      </c>
      <c r="H411" s="3" t="s">
        <v>838</v>
      </c>
      <c r="I411" s="3" t="s">
        <v>222</v>
      </c>
      <c r="J411" s="5"/>
      <c r="K411" s="3"/>
      <c r="L411" s="3"/>
      <c r="M411" s="3"/>
      <c r="N411" s="3"/>
      <c r="O411" s="3"/>
      <c r="P411" s="3"/>
      <c r="Q411" s="3"/>
      <c r="R411" s="3"/>
      <c r="S411" s="3"/>
      <c r="T411" s="3"/>
      <c r="U411" s="3"/>
      <c r="V411" s="3"/>
      <c r="W411" s="3"/>
      <c r="X411" s="3"/>
      <c r="Y411" s="3"/>
      <c r="Z411" s="3"/>
    </row>
    <row r="412" ht="27.0" customHeight="1">
      <c r="A412" s="3" t="s">
        <v>9</v>
      </c>
      <c r="B412" s="4" t="s">
        <v>812</v>
      </c>
      <c r="C412" s="1">
        <v>31.0</v>
      </c>
      <c r="D412" s="3" t="s">
        <v>839</v>
      </c>
      <c r="E412" s="5" t="s">
        <v>694</v>
      </c>
      <c r="F412" s="5" t="s">
        <v>840</v>
      </c>
      <c r="G412" s="3">
        <f t="array" ref="G412">SUMPRODUCT(--(TRIM($E$2:$E$421)=TRIM(E412)))</f>
        <v>2</v>
      </c>
      <c r="H412" s="3" t="s">
        <v>73</v>
      </c>
      <c r="I412" s="3" t="s">
        <v>137</v>
      </c>
      <c r="J412" s="5"/>
      <c r="K412" s="3"/>
      <c r="L412" s="3"/>
      <c r="M412" s="3"/>
      <c r="N412" s="3"/>
      <c r="O412" s="3"/>
      <c r="P412" s="3"/>
      <c r="Q412" s="3"/>
      <c r="R412" s="3"/>
      <c r="S412" s="3"/>
      <c r="T412" s="3"/>
      <c r="U412" s="3"/>
      <c r="V412" s="3"/>
      <c r="W412" s="3"/>
      <c r="X412" s="3"/>
      <c r="Y412" s="3"/>
      <c r="Z412" s="3"/>
    </row>
    <row r="413" ht="27.0" customHeight="1">
      <c r="A413" s="3" t="s">
        <v>9</v>
      </c>
      <c r="B413" s="4" t="s">
        <v>812</v>
      </c>
      <c r="C413" s="1">
        <v>32.0</v>
      </c>
      <c r="D413" s="3" t="s">
        <v>841</v>
      </c>
      <c r="E413" s="5" t="s">
        <v>842</v>
      </c>
      <c r="F413" s="5" t="s">
        <v>843</v>
      </c>
      <c r="G413" s="3">
        <f t="array" ref="G413">SUMPRODUCT(--(TRIM($E$2:$E$421)=TRIM(E413)))</f>
        <v>1</v>
      </c>
      <c r="H413" s="3" t="s">
        <v>54</v>
      </c>
      <c r="I413" s="3" t="s">
        <v>102</v>
      </c>
      <c r="J413" s="5"/>
      <c r="K413" s="3"/>
      <c r="L413" s="3"/>
      <c r="M413" s="3"/>
      <c r="N413" s="3"/>
      <c r="O413" s="3"/>
      <c r="P413" s="3"/>
      <c r="Q413" s="3"/>
      <c r="R413" s="3"/>
      <c r="S413" s="3"/>
      <c r="T413" s="3"/>
      <c r="U413" s="3"/>
      <c r="V413" s="3"/>
      <c r="W413" s="3"/>
      <c r="X413" s="3"/>
      <c r="Y413" s="3"/>
      <c r="Z413" s="3"/>
    </row>
    <row r="414" ht="27.0" customHeight="1">
      <c r="A414" s="3" t="s">
        <v>9</v>
      </c>
      <c r="B414" s="4" t="s">
        <v>812</v>
      </c>
      <c r="C414" s="1">
        <v>33.0</v>
      </c>
      <c r="D414" s="3" t="s">
        <v>844</v>
      </c>
      <c r="E414" s="5" t="s">
        <v>624</v>
      </c>
      <c r="F414" s="5" t="s">
        <v>625</v>
      </c>
      <c r="G414" s="3">
        <f t="array" ref="G414">SUMPRODUCT(--(TRIM($E$2:$E$421)=TRIM(E414)))</f>
        <v>2</v>
      </c>
      <c r="H414" s="3" t="s">
        <v>626</v>
      </c>
      <c r="I414" s="3" t="s">
        <v>65</v>
      </c>
      <c r="J414" s="5"/>
      <c r="K414" s="3"/>
      <c r="L414" s="3"/>
      <c r="M414" s="3"/>
      <c r="N414" s="3"/>
      <c r="O414" s="3"/>
      <c r="P414" s="3"/>
      <c r="Q414" s="3"/>
      <c r="R414" s="3"/>
      <c r="S414" s="3"/>
      <c r="T414" s="3"/>
      <c r="U414" s="3"/>
      <c r="V414" s="3"/>
      <c r="W414" s="3"/>
      <c r="X414" s="3"/>
      <c r="Y414" s="3"/>
      <c r="Z414" s="3"/>
    </row>
    <row r="415" ht="27.0" customHeight="1">
      <c r="A415" s="3" t="s">
        <v>9</v>
      </c>
      <c r="B415" s="4" t="s">
        <v>812</v>
      </c>
      <c r="C415" s="1">
        <v>34.0</v>
      </c>
      <c r="D415" s="3" t="s">
        <v>845</v>
      </c>
      <c r="E415" s="5" t="s">
        <v>143</v>
      </c>
      <c r="F415" s="5" t="s">
        <v>144</v>
      </c>
      <c r="G415" s="3">
        <f t="array" ref="G415">SUMPRODUCT(--(TRIM($E$2:$E$421)=TRIM(E415)))</f>
        <v>6</v>
      </c>
      <c r="H415" s="3" t="s">
        <v>145</v>
      </c>
      <c r="I415" s="3" t="s">
        <v>146</v>
      </c>
      <c r="J415" s="5"/>
      <c r="K415" s="3"/>
      <c r="L415" s="3"/>
      <c r="M415" s="3"/>
      <c r="N415" s="3"/>
      <c r="O415" s="3"/>
      <c r="P415" s="3"/>
      <c r="Q415" s="3"/>
      <c r="R415" s="3"/>
      <c r="S415" s="3"/>
      <c r="T415" s="3"/>
      <c r="U415" s="3"/>
      <c r="V415" s="3"/>
      <c r="W415" s="3"/>
      <c r="X415" s="3"/>
      <c r="Y415" s="3"/>
      <c r="Z415" s="3"/>
    </row>
    <row r="416" ht="27.0" customHeight="1">
      <c r="A416" s="3" t="s">
        <v>9</v>
      </c>
      <c r="B416" s="4" t="s">
        <v>812</v>
      </c>
      <c r="C416" s="1">
        <v>35.0</v>
      </c>
      <c r="D416" s="3" t="s">
        <v>61</v>
      </c>
      <c r="E416" s="5" t="s">
        <v>62</v>
      </c>
      <c r="F416" s="5" t="s">
        <v>846</v>
      </c>
      <c r="G416" s="3">
        <f t="array" ref="G416">SUMPRODUCT(--(TRIM($E$2:$E$421)=TRIM(E416)))</f>
        <v>5</v>
      </c>
      <c r="H416" s="3" t="s">
        <v>64</v>
      </c>
      <c r="I416" s="3" t="s">
        <v>176</v>
      </c>
      <c r="J416" s="5"/>
      <c r="K416" s="3"/>
      <c r="L416" s="3"/>
      <c r="M416" s="3"/>
      <c r="N416" s="3"/>
      <c r="O416" s="3"/>
      <c r="P416" s="3"/>
      <c r="Q416" s="3"/>
      <c r="R416" s="3"/>
      <c r="S416" s="3"/>
      <c r="T416" s="3"/>
      <c r="U416" s="3"/>
      <c r="V416" s="3"/>
      <c r="W416" s="3"/>
      <c r="X416" s="3"/>
      <c r="Y416" s="3"/>
      <c r="Z416" s="3"/>
    </row>
    <row r="417" ht="27.0" customHeight="1">
      <c r="A417" s="3" t="s">
        <v>9</v>
      </c>
      <c r="B417" s="4" t="s">
        <v>812</v>
      </c>
      <c r="C417" s="1">
        <v>36.0</v>
      </c>
      <c r="D417" s="3" t="s">
        <v>847</v>
      </c>
      <c r="E417" s="5" t="s">
        <v>153</v>
      </c>
      <c r="F417" s="5" t="s">
        <v>154</v>
      </c>
      <c r="G417" s="3">
        <f t="array" ref="G417">SUMPRODUCT(--(TRIM($E$2:$E$421)=TRIM(E417)))</f>
        <v>5</v>
      </c>
      <c r="H417" s="3" t="s">
        <v>44</v>
      </c>
      <c r="I417" s="3" t="s">
        <v>45</v>
      </c>
      <c r="J417" s="5"/>
      <c r="K417" s="3"/>
      <c r="L417" s="3"/>
      <c r="M417" s="3"/>
      <c r="N417" s="3"/>
      <c r="O417" s="3"/>
      <c r="P417" s="3"/>
      <c r="Q417" s="3"/>
      <c r="R417" s="3"/>
      <c r="S417" s="3"/>
      <c r="T417" s="3"/>
      <c r="U417" s="3"/>
      <c r="V417" s="3"/>
      <c r="W417" s="3"/>
      <c r="X417" s="3"/>
      <c r="Y417" s="3"/>
      <c r="Z417" s="3"/>
    </row>
    <row r="418" ht="27.0" customHeight="1">
      <c r="A418" s="3" t="s">
        <v>9</v>
      </c>
      <c r="B418" s="4" t="s">
        <v>812</v>
      </c>
      <c r="C418" s="1">
        <v>37.0</v>
      </c>
      <c r="D418" s="3" t="s">
        <v>848</v>
      </c>
      <c r="E418" s="5" t="s">
        <v>849</v>
      </c>
      <c r="F418" s="5" t="s">
        <v>850</v>
      </c>
      <c r="G418" s="3">
        <f t="array" ref="G418">SUMPRODUCT(--(TRIM($E$2:$E$421)=TRIM(E418)))</f>
        <v>1</v>
      </c>
      <c r="H418" s="3" t="s">
        <v>91</v>
      </c>
      <c r="I418" s="3" t="s">
        <v>92</v>
      </c>
      <c r="J418" s="5"/>
      <c r="K418" s="3"/>
      <c r="L418" s="3"/>
      <c r="M418" s="3"/>
      <c r="N418" s="3"/>
      <c r="O418" s="3"/>
      <c r="P418" s="3"/>
      <c r="Q418" s="3"/>
      <c r="R418" s="3"/>
      <c r="S418" s="3"/>
      <c r="T418" s="3"/>
      <c r="U418" s="3"/>
      <c r="V418" s="3"/>
      <c r="W418" s="3"/>
      <c r="X418" s="3"/>
      <c r="Y418" s="3"/>
      <c r="Z418" s="3"/>
    </row>
    <row r="419" ht="27.0" customHeight="1">
      <c r="A419" s="3" t="s">
        <v>9</v>
      </c>
      <c r="B419" s="4" t="s">
        <v>812</v>
      </c>
      <c r="C419" s="1">
        <v>38.0</v>
      </c>
      <c r="D419" s="3" t="s">
        <v>851</v>
      </c>
      <c r="E419" s="5" t="s">
        <v>158</v>
      </c>
      <c r="F419" s="5" t="s">
        <v>159</v>
      </c>
      <c r="G419" s="3">
        <f t="array" ref="G419">SUMPRODUCT(--(TRIM($E$2:$E$421)=TRIM(E419)))</f>
        <v>5</v>
      </c>
      <c r="H419" s="3" t="s">
        <v>141</v>
      </c>
      <c r="I419" s="3" t="s">
        <v>55</v>
      </c>
      <c r="J419" s="5"/>
      <c r="K419" s="3"/>
      <c r="L419" s="3"/>
      <c r="M419" s="3"/>
      <c r="N419" s="3"/>
      <c r="O419" s="3"/>
      <c r="P419" s="3"/>
      <c r="Q419" s="3"/>
      <c r="R419" s="3"/>
      <c r="S419" s="3"/>
      <c r="T419" s="3"/>
      <c r="U419" s="3"/>
      <c r="V419" s="3"/>
      <c r="W419" s="3"/>
      <c r="X419" s="3"/>
      <c r="Y419" s="3"/>
      <c r="Z419" s="3"/>
    </row>
    <row r="420" ht="27.0" customHeight="1">
      <c r="A420" s="3" t="s">
        <v>9</v>
      </c>
      <c r="B420" s="4" t="s">
        <v>812</v>
      </c>
      <c r="C420" s="1">
        <v>39.0</v>
      </c>
      <c r="D420" s="3" t="s">
        <v>852</v>
      </c>
      <c r="E420" s="5" t="s">
        <v>247</v>
      </c>
      <c r="F420" s="5" t="s">
        <v>248</v>
      </c>
      <c r="G420" s="3">
        <f t="array" ref="G420">SUMPRODUCT(--(TRIM($E$2:$E$421)=TRIM(E420)))</f>
        <v>4</v>
      </c>
      <c r="H420" s="3" t="s">
        <v>87</v>
      </c>
      <c r="I420" s="3" t="s">
        <v>88</v>
      </c>
      <c r="J420" s="5"/>
      <c r="K420" s="3"/>
      <c r="L420" s="3"/>
      <c r="M420" s="3"/>
      <c r="N420" s="3"/>
      <c r="O420" s="3"/>
      <c r="P420" s="3"/>
      <c r="Q420" s="3"/>
      <c r="R420" s="3"/>
      <c r="S420" s="3"/>
      <c r="T420" s="3"/>
      <c r="U420" s="3"/>
      <c r="V420" s="3"/>
      <c r="W420" s="3"/>
      <c r="X420" s="3"/>
      <c r="Y420" s="3"/>
      <c r="Z420" s="3"/>
    </row>
    <row r="421" ht="27.0" customHeight="1">
      <c r="A421" s="3" t="s">
        <v>9</v>
      </c>
      <c r="B421" s="4" t="s">
        <v>812</v>
      </c>
      <c r="C421" s="1">
        <v>40.0</v>
      </c>
      <c r="D421" s="3" t="s">
        <v>729</v>
      </c>
      <c r="E421" s="3" t="s">
        <v>730</v>
      </c>
      <c r="F421" s="5" t="s">
        <v>731</v>
      </c>
      <c r="G421" s="3">
        <f t="array" ref="G421">SUMPRODUCT(--(TRIM($E$2:$E$421)=TRIM(E421)))</f>
        <v>2</v>
      </c>
      <c r="H421" s="3" t="s">
        <v>44</v>
      </c>
      <c r="I421" s="3" t="s">
        <v>45</v>
      </c>
      <c r="J421" s="5"/>
      <c r="K421" s="3"/>
      <c r="L421" s="3"/>
      <c r="M421" s="3"/>
      <c r="N421" s="3"/>
      <c r="O421" s="3"/>
      <c r="P421" s="3"/>
      <c r="Q421" s="3"/>
      <c r="R421" s="3"/>
      <c r="S421" s="3"/>
      <c r="T421" s="3"/>
      <c r="U421" s="3"/>
      <c r="V421" s="3"/>
      <c r="W421" s="3"/>
      <c r="X421" s="3"/>
      <c r="Y421" s="3"/>
      <c r="Z421" s="3"/>
    </row>
    <row r="422" ht="27.0" customHeight="1">
      <c r="A422" s="3" t="s">
        <v>9</v>
      </c>
      <c r="B422" s="1" t="s">
        <v>853</v>
      </c>
      <c r="C422" s="1">
        <v>1.0</v>
      </c>
      <c r="D422" s="3" t="s">
        <v>854</v>
      </c>
      <c r="E422" s="5" t="s">
        <v>855</v>
      </c>
      <c r="F422" s="5" t="s">
        <v>856</v>
      </c>
      <c r="G422" s="3">
        <v>1.0</v>
      </c>
      <c r="H422" s="3" t="s">
        <v>14</v>
      </c>
      <c r="I422" s="3" t="s">
        <v>215</v>
      </c>
      <c r="J422" s="5"/>
      <c r="K422" s="3"/>
      <c r="L422" s="3"/>
      <c r="M422" s="3"/>
      <c r="N422" s="3"/>
      <c r="O422" s="3"/>
      <c r="P422" s="3"/>
      <c r="Q422" s="3"/>
      <c r="R422" s="3"/>
      <c r="S422" s="3"/>
      <c r="T422" s="3"/>
      <c r="U422" s="3"/>
      <c r="V422" s="3"/>
      <c r="W422" s="3"/>
      <c r="X422" s="3"/>
      <c r="Y422" s="3"/>
      <c r="Z422" s="3"/>
    </row>
    <row r="423" ht="27.0" customHeight="1">
      <c r="A423" s="3" t="s">
        <v>9</v>
      </c>
      <c r="B423" s="1" t="s">
        <v>853</v>
      </c>
      <c r="C423" s="1">
        <v>2.0</v>
      </c>
      <c r="D423" s="3" t="s">
        <v>367</v>
      </c>
      <c r="E423" s="5" t="s">
        <v>857</v>
      </c>
      <c r="F423" s="5" t="s">
        <v>858</v>
      </c>
      <c r="G423" s="3">
        <v>1.0</v>
      </c>
      <c r="H423" s="3" t="s">
        <v>14</v>
      </c>
      <c r="I423" s="3" t="s">
        <v>15</v>
      </c>
      <c r="J423" s="5"/>
      <c r="K423" s="3"/>
      <c r="L423" s="3"/>
      <c r="M423" s="3"/>
      <c r="N423" s="3"/>
      <c r="O423" s="3"/>
      <c r="P423" s="3"/>
      <c r="Q423" s="3"/>
      <c r="R423" s="3"/>
      <c r="S423" s="3"/>
      <c r="T423" s="3"/>
      <c r="U423" s="3"/>
      <c r="V423" s="3"/>
      <c r="W423" s="3"/>
      <c r="X423" s="3"/>
      <c r="Y423" s="3"/>
      <c r="Z423" s="3"/>
    </row>
    <row r="424" ht="27.0" customHeight="1">
      <c r="A424" s="3" t="s">
        <v>9</v>
      </c>
      <c r="B424" s="1" t="s">
        <v>853</v>
      </c>
      <c r="C424" s="1">
        <v>3.0</v>
      </c>
      <c r="D424" s="3" t="s">
        <v>859</v>
      </c>
      <c r="E424" s="5" t="s">
        <v>860</v>
      </c>
      <c r="F424" s="5" t="s">
        <v>861</v>
      </c>
      <c r="G424" s="3">
        <v>1.0</v>
      </c>
      <c r="H424" s="3" t="s">
        <v>199</v>
      </c>
      <c r="I424" s="3" t="s">
        <v>264</v>
      </c>
      <c r="J424" s="5"/>
      <c r="K424" s="3"/>
      <c r="L424" s="3"/>
      <c r="M424" s="3"/>
      <c r="N424" s="3"/>
      <c r="O424" s="3"/>
      <c r="P424" s="3"/>
      <c r="Q424" s="3"/>
      <c r="R424" s="3"/>
      <c r="S424" s="3"/>
      <c r="T424" s="3"/>
      <c r="U424" s="3"/>
      <c r="V424" s="3"/>
      <c r="W424" s="3"/>
      <c r="X424" s="3"/>
      <c r="Y424" s="3"/>
      <c r="Z424" s="3"/>
    </row>
    <row r="425" ht="27.0" customHeight="1">
      <c r="A425" s="3" t="s">
        <v>9</v>
      </c>
      <c r="B425" s="1" t="s">
        <v>853</v>
      </c>
      <c r="C425" s="1">
        <v>4.0</v>
      </c>
      <c r="D425" s="3" t="s">
        <v>549</v>
      </c>
      <c r="E425" s="5" t="s">
        <v>862</v>
      </c>
      <c r="F425" s="5" t="s">
        <v>863</v>
      </c>
      <c r="G425" s="3">
        <v>1.0</v>
      </c>
      <c r="H425" s="3" t="s">
        <v>14</v>
      </c>
      <c r="I425" s="3" t="s">
        <v>110</v>
      </c>
      <c r="J425" s="5"/>
      <c r="K425" s="3"/>
      <c r="L425" s="3"/>
      <c r="M425" s="3"/>
      <c r="N425" s="3"/>
      <c r="O425" s="3"/>
      <c r="P425" s="3"/>
      <c r="Q425" s="3"/>
      <c r="R425" s="3"/>
      <c r="S425" s="3"/>
      <c r="T425" s="3"/>
      <c r="U425" s="3"/>
      <c r="V425" s="3"/>
      <c r="W425" s="3"/>
      <c r="X425" s="3"/>
      <c r="Y425" s="3"/>
      <c r="Z425" s="3"/>
    </row>
    <row r="426" ht="27.0" customHeight="1">
      <c r="A426" s="3" t="s">
        <v>9</v>
      </c>
      <c r="B426" s="1" t="s">
        <v>853</v>
      </c>
      <c r="C426" s="1">
        <v>5.0</v>
      </c>
      <c r="D426" s="3" t="s">
        <v>356</v>
      </c>
      <c r="E426" s="5" t="s">
        <v>864</v>
      </c>
      <c r="F426" s="5" t="s">
        <v>865</v>
      </c>
      <c r="G426" s="3">
        <v>1.0</v>
      </c>
      <c r="H426" s="3" t="s">
        <v>866</v>
      </c>
      <c r="I426" s="3" t="s">
        <v>36</v>
      </c>
      <c r="J426" s="5"/>
      <c r="K426" s="3"/>
      <c r="L426" s="3"/>
      <c r="M426" s="3"/>
      <c r="N426" s="3"/>
      <c r="O426" s="3"/>
      <c r="P426" s="3"/>
      <c r="Q426" s="3"/>
      <c r="R426" s="3"/>
      <c r="S426" s="3"/>
      <c r="T426" s="3"/>
      <c r="U426" s="3"/>
      <c r="V426" s="3"/>
      <c r="W426" s="3"/>
      <c r="X426" s="3"/>
      <c r="Y426" s="3"/>
      <c r="Z426" s="3"/>
    </row>
    <row r="427" ht="27.0" customHeight="1">
      <c r="A427" s="3" t="s">
        <v>9</v>
      </c>
      <c r="B427" s="1" t="s">
        <v>853</v>
      </c>
      <c r="C427" s="1">
        <v>6.0</v>
      </c>
      <c r="D427" s="3" t="s">
        <v>32</v>
      </c>
      <c r="E427" s="5" t="s">
        <v>867</v>
      </c>
      <c r="F427" s="5" t="s">
        <v>868</v>
      </c>
      <c r="G427" s="3">
        <v>1.0</v>
      </c>
      <c r="H427" s="3" t="s">
        <v>866</v>
      </c>
      <c r="I427" s="3" t="s">
        <v>36</v>
      </c>
      <c r="J427" s="5"/>
      <c r="K427" s="3"/>
      <c r="L427" s="3"/>
      <c r="M427" s="3"/>
      <c r="N427" s="3"/>
      <c r="O427" s="3"/>
      <c r="P427" s="3"/>
      <c r="Q427" s="3"/>
      <c r="R427" s="3"/>
      <c r="S427" s="3"/>
      <c r="T427" s="3"/>
      <c r="U427" s="3"/>
      <c r="V427" s="3"/>
      <c r="W427" s="3"/>
      <c r="X427" s="3"/>
      <c r="Y427" s="3"/>
      <c r="Z427" s="3"/>
    </row>
    <row r="428" ht="27.0" customHeight="1">
      <c r="A428" s="3" t="s">
        <v>9</v>
      </c>
      <c r="B428" s="1" t="s">
        <v>853</v>
      </c>
      <c r="C428" s="1">
        <v>7.0</v>
      </c>
      <c r="D428" s="3" t="s">
        <v>869</v>
      </c>
      <c r="E428" s="5" t="s">
        <v>870</v>
      </c>
      <c r="F428" s="5" t="s">
        <v>871</v>
      </c>
      <c r="G428" s="3">
        <v>1.0</v>
      </c>
      <c r="H428" s="3" t="s">
        <v>484</v>
      </c>
      <c r="I428" s="3" t="s">
        <v>23</v>
      </c>
      <c r="J428" s="5"/>
      <c r="K428" s="3"/>
      <c r="L428" s="3"/>
      <c r="M428" s="3"/>
      <c r="N428" s="3"/>
      <c r="O428" s="3"/>
      <c r="P428" s="3"/>
      <c r="Q428" s="3"/>
      <c r="R428" s="3"/>
      <c r="S428" s="3"/>
      <c r="T428" s="3"/>
      <c r="U428" s="3"/>
      <c r="V428" s="3"/>
      <c r="W428" s="3"/>
      <c r="X428" s="3"/>
      <c r="Y428" s="3"/>
      <c r="Z428" s="3"/>
    </row>
    <row r="429" ht="27.0" customHeight="1">
      <c r="A429" s="3" t="s">
        <v>9</v>
      </c>
      <c r="B429" s="1" t="s">
        <v>853</v>
      </c>
      <c r="C429" s="1">
        <v>8.0</v>
      </c>
      <c r="D429" s="3" t="s">
        <v>32</v>
      </c>
      <c r="E429" s="5" t="s">
        <v>872</v>
      </c>
      <c r="F429" s="5" t="s">
        <v>873</v>
      </c>
      <c r="G429" s="3">
        <v>1.0</v>
      </c>
      <c r="H429" s="3" t="s">
        <v>39</v>
      </c>
      <c r="I429" s="3" t="s">
        <v>40</v>
      </c>
      <c r="J429" s="5"/>
      <c r="K429" s="3"/>
      <c r="L429" s="3"/>
      <c r="M429" s="3"/>
      <c r="N429" s="3"/>
      <c r="O429" s="3"/>
      <c r="P429" s="3"/>
      <c r="Q429" s="3"/>
      <c r="R429" s="3"/>
      <c r="S429" s="3"/>
      <c r="T429" s="3"/>
      <c r="U429" s="3"/>
      <c r="V429" s="3"/>
      <c r="W429" s="3"/>
      <c r="X429" s="3"/>
      <c r="Y429" s="3"/>
      <c r="Z429" s="3"/>
    </row>
    <row r="430" ht="27.0" customHeight="1">
      <c r="A430" s="3" t="s">
        <v>9</v>
      </c>
      <c r="B430" s="1" t="s">
        <v>853</v>
      </c>
      <c r="C430" s="1">
        <v>9.0</v>
      </c>
      <c r="D430" s="3" t="s">
        <v>32</v>
      </c>
      <c r="E430" s="5" t="s">
        <v>874</v>
      </c>
      <c r="F430" s="5" t="s">
        <v>875</v>
      </c>
      <c r="G430" s="3">
        <v>1.0</v>
      </c>
      <c r="H430" s="3" t="s">
        <v>39</v>
      </c>
      <c r="I430" s="3" t="s">
        <v>40</v>
      </c>
      <c r="J430" s="5"/>
      <c r="K430" s="3"/>
      <c r="L430" s="3"/>
      <c r="M430" s="3"/>
      <c r="N430" s="3"/>
      <c r="O430" s="3"/>
      <c r="P430" s="3"/>
      <c r="Q430" s="3"/>
      <c r="R430" s="3"/>
      <c r="S430" s="3"/>
      <c r="T430" s="3"/>
      <c r="U430" s="3"/>
      <c r="V430" s="3"/>
      <c r="W430" s="3"/>
      <c r="X430" s="3"/>
      <c r="Y430" s="3"/>
      <c r="Z430" s="3"/>
    </row>
    <row r="431" ht="27.0" customHeight="1">
      <c r="A431" s="3" t="s">
        <v>9</v>
      </c>
      <c r="B431" s="1" t="s">
        <v>853</v>
      </c>
      <c r="C431" s="1">
        <v>10.0</v>
      </c>
      <c r="D431" s="3" t="s">
        <v>652</v>
      </c>
      <c r="E431" s="5" t="s">
        <v>876</v>
      </c>
      <c r="F431" s="5" t="s">
        <v>877</v>
      </c>
      <c r="G431" s="3">
        <v>1.0</v>
      </c>
      <c r="H431" s="3" t="s">
        <v>39</v>
      </c>
      <c r="I431" s="3" t="s">
        <v>40</v>
      </c>
      <c r="J431" s="5"/>
      <c r="K431" s="3"/>
      <c r="L431" s="3"/>
      <c r="M431" s="3"/>
      <c r="N431" s="3"/>
      <c r="O431" s="3"/>
      <c r="P431" s="3"/>
      <c r="Q431" s="3"/>
      <c r="R431" s="3"/>
      <c r="S431" s="3"/>
      <c r="T431" s="3"/>
      <c r="U431" s="3"/>
      <c r="V431" s="3"/>
      <c r="W431" s="3"/>
      <c r="X431" s="3"/>
      <c r="Y431" s="3"/>
      <c r="Z431" s="3"/>
    </row>
    <row r="432" ht="27.0" customHeight="1">
      <c r="A432" s="3" t="s">
        <v>9</v>
      </c>
      <c r="B432" s="1" t="s">
        <v>853</v>
      </c>
      <c r="C432" s="1">
        <v>11.0</v>
      </c>
      <c r="D432" s="3" t="s">
        <v>878</v>
      </c>
      <c r="E432" s="5" t="s">
        <v>879</v>
      </c>
      <c r="F432" s="5" t="s">
        <v>880</v>
      </c>
      <c r="G432" s="3">
        <v>1.0</v>
      </c>
      <c r="H432" s="3" t="s">
        <v>205</v>
      </c>
      <c r="I432" s="3" t="s">
        <v>206</v>
      </c>
      <c r="J432" s="5"/>
      <c r="K432" s="3"/>
      <c r="L432" s="3"/>
      <c r="M432" s="3"/>
      <c r="N432" s="3"/>
      <c r="O432" s="3"/>
      <c r="P432" s="3"/>
      <c r="Q432" s="3"/>
      <c r="R432" s="3"/>
      <c r="S432" s="3"/>
      <c r="T432" s="3"/>
      <c r="U432" s="3"/>
      <c r="V432" s="3"/>
      <c r="W432" s="3"/>
      <c r="X432" s="3"/>
      <c r="Y432" s="3"/>
      <c r="Z432" s="3"/>
    </row>
    <row r="433" ht="27.0" customHeight="1">
      <c r="A433" s="3" t="s">
        <v>9</v>
      </c>
      <c r="B433" s="1" t="s">
        <v>853</v>
      </c>
      <c r="C433" s="1">
        <v>12.0</v>
      </c>
      <c r="D433" s="3" t="s">
        <v>881</v>
      </c>
      <c r="E433" s="5" t="s">
        <v>882</v>
      </c>
      <c r="F433" s="5" t="s">
        <v>883</v>
      </c>
      <c r="G433" s="3">
        <v>1.0</v>
      </c>
      <c r="H433" s="3" t="s">
        <v>39</v>
      </c>
      <c r="I433" s="3" t="s">
        <v>40</v>
      </c>
      <c r="J433" s="5"/>
      <c r="K433" s="3"/>
      <c r="L433" s="3"/>
      <c r="M433" s="3"/>
      <c r="N433" s="3"/>
      <c r="O433" s="3"/>
      <c r="P433" s="3"/>
      <c r="Q433" s="3"/>
      <c r="R433" s="3"/>
      <c r="S433" s="3"/>
      <c r="T433" s="3"/>
      <c r="U433" s="3"/>
      <c r="V433" s="3"/>
      <c r="W433" s="3"/>
      <c r="X433" s="3"/>
      <c r="Y433" s="3"/>
      <c r="Z433" s="3"/>
    </row>
    <row r="434" ht="27.0" customHeight="1">
      <c r="A434" s="3" t="s">
        <v>9</v>
      </c>
      <c r="B434" s="1" t="s">
        <v>853</v>
      </c>
      <c r="C434" s="1">
        <v>13.0</v>
      </c>
      <c r="D434" s="3" t="s">
        <v>32</v>
      </c>
      <c r="E434" s="5" t="s">
        <v>884</v>
      </c>
      <c r="F434" s="5" t="s">
        <v>885</v>
      </c>
      <c r="G434" s="3">
        <v>1.0</v>
      </c>
      <c r="H434" s="3" t="s">
        <v>22</v>
      </c>
      <c r="I434" s="3" t="s">
        <v>80</v>
      </c>
      <c r="J434" s="5"/>
      <c r="K434" s="3"/>
      <c r="L434" s="3"/>
      <c r="M434" s="3"/>
      <c r="N434" s="3"/>
      <c r="O434" s="3"/>
      <c r="P434" s="3"/>
      <c r="Q434" s="3"/>
      <c r="R434" s="3"/>
      <c r="S434" s="3"/>
      <c r="T434" s="3"/>
      <c r="U434" s="3"/>
      <c r="V434" s="3"/>
      <c r="W434" s="3"/>
      <c r="X434" s="3"/>
      <c r="Y434" s="3"/>
      <c r="Z434" s="3"/>
    </row>
    <row r="435" ht="27.0" customHeight="1">
      <c r="A435" s="3" t="s">
        <v>9</v>
      </c>
      <c r="B435" s="1" t="s">
        <v>853</v>
      </c>
      <c r="C435" s="1">
        <v>14.0</v>
      </c>
      <c r="D435" s="3" t="s">
        <v>886</v>
      </c>
      <c r="E435" s="5" t="s">
        <v>887</v>
      </c>
      <c r="F435" s="5" t="s">
        <v>888</v>
      </c>
      <c r="G435" s="3">
        <v>1.0</v>
      </c>
      <c r="H435" s="3" t="s">
        <v>27</v>
      </c>
      <c r="I435" s="3" t="s">
        <v>28</v>
      </c>
      <c r="J435" s="5"/>
      <c r="K435" s="3"/>
      <c r="L435" s="3"/>
      <c r="M435" s="3"/>
      <c r="N435" s="3"/>
      <c r="O435" s="3"/>
      <c r="P435" s="3"/>
      <c r="Q435" s="3"/>
      <c r="R435" s="3"/>
      <c r="S435" s="3"/>
      <c r="T435" s="3"/>
      <c r="U435" s="3"/>
      <c r="V435" s="3"/>
      <c r="W435" s="3"/>
      <c r="X435" s="3"/>
      <c r="Y435" s="3"/>
      <c r="Z435" s="3"/>
    </row>
    <row r="436" ht="27.0" customHeight="1">
      <c r="A436" s="3" t="s">
        <v>9</v>
      </c>
      <c r="B436" s="1" t="s">
        <v>853</v>
      </c>
      <c r="C436" s="1">
        <v>15.0</v>
      </c>
      <c r="D436" s="3" t="s">
        <v>32</v>
      </c>
      <c r="E436" s="5" t="s">
        <v>889</v>
      </c>
      <c r="F436" s="5" t="s">
        <v>890</v>
      </c>
      <c r="G436" s="3">
        <v>1.0</v>
      </c>
      <c r="H436" s="3" t="s">
        <v>22</v>
      </c>
      <c r="I436" s="3" t="s">
        <v>80</v>
      </c>
      <c r="J436" s="5"/>
      <c r="K436" s="3"/>
      <c r="L436" s="3"/>
      <c r="M436" s="3"/>
      <c r="N436" s="3"/>
      <c r="O436" s="3"/>
      <c r="P436" s="3"/>
      <c r="Q436" s="3"/>
      <c r="R436" s="3"/>
      <c r="S436" s="3"/>
      <c r="T436" s="3"/>
      <c r="U436" s="3"/>
      <c r="V436" s="3"/>
      <c r="W436" s="3"/>
      <c r="X436" s="3"/>
      <c r="Y436" s="3"/>
      <c r="Z436" s="3"/>
    </row>
    <row r="437" ht="27.0" customHeight="1">
      <c r="A437" s="3" t="s">
        <v>9</v>
      </c>
      <c r="B437" s="1" t="s">
        <v>853</v>
      </c>
      <c r="C437" s="1">
        <v>16.0</v>
      </c>
      <c r="D437" s="3" t="s">
        <v>32</v>
      </c>
      <c r="E437" s="5" t="s">
        <v>891</v>
      </c>
      <c r="F437" s="5" t="s">
        <v>892</v>
      </c>
      <c r="G437" s="3">
        <v>1.0</v>
      </c>
      <c r="H437" s="3" t="s">
        <v>114</v>
      </c>
      <c r="I437" s="3" t="s">
        <v>115</v>
      </c>
      <c r="J437" s="5"/>
      <c r="K437" s="3"/>
      <c r="L437" s="3"/>
      <c r="M437" s="3"/>
      <c r="N437" s="3"/>
      <c r="O437" s="3"/>
      <c r="P437" s="3"/>
      <c r="Q437" s="3"/>
      <c r="R437" s="3"/>
      <c r="S437" s="3"/>
      <c r="T437" s="3"/>
      <c r="U437" s="3"/>
      <c r="V437" s="3"/>
      <c r="W437" s="3"/>
      <c r="X437" s="3"/>
      <c r="Y437" s="3"/>
      <c r="Z437" s="3"/>
    </row>
    <row r="438" ht="27.0" customHeight="1">
      <c r="A438" s="3" t="s">
        <v>9</v>
      </c>
      <c r="B438" s="1" t="s">
        <v>853</v>
      </c>
      <c r="C438" s="1">
        <v>17.0</v>
      </c>
      <c r="D438" s="3" t="s">
        <v>893</v>
      </c>
      <c r="E438" s="5" t="s">
        <v>381</v>
      </c>
      <c r="F438" s="5" t="s">
        <v>894</v>
      </c>
      <c r="G438" s="3">
        <v>1.0</v>
      </c>
      <c r="H438" s="3" t="s">
        <v>383</v>
      </c>
      <c r="I438" s="3" t="s">
        <v>384</v>
      </c>
      <c r="J438" s="5"/>
      <c r="K438" s="3"/>
      <c r="L438" s="3"/>
      <c r="M438" s="3"/>
      <c r="N438" s="3"/>
      <c r="O438" s="3"/>
      <c r="P438" s="3"/>
      <c r="Q438" s="3"/>
      <c r="R438" s="3"/>
      <c r="S438" s="3"/>
      <c r="T438" s="3"/>
      <c r="U438" s="3"/>
      <c r="V438" s="3"/>
      <c r="W438" s="3"/>
      <c r="X438" s="3"/>
      <c r="Y438" s="3"/>
      <c r="Z438" s="3"/>
    </row>
    <row r="439" ht="27.0" customHeight="1">
      <c r="A439" s="3" t="s">
        <v>9</v>
      </c>
      <c r="B439" s="1" t="s">
        <v>853</v>
      </c>
      <c r="C439" s="1">
        <v>18.0</v>
      </c>
      <c r="D439" s="3" t="s">
        <v>330</v>
      </c>
      <c r="E439" s="5" t="s">
        <v>895</v>
      </c>
      <c r="F439" s="5" t="s">
        <v>896</v>
      </c>
      <c r="G439" s="3">
        <v>1.0</v>
      </c>
      <c r="H439" s="3" t="s">
        <v>413</v>
      </c>
      <c r="I439" s="3" t="s">
        <v>115</v>
      </c>
      <c r="J439" s="5"/>
      <c r="K439" s="3"/>
      <c r="L439" s="3"/>
      <c r="M439" s="3"/>
      <c r="N439" s="3"/>
      <c r="O439" s="3"/>
      <c r="P439" s="3"/>
      <c r="Q439" s="3"/>
      <c r="R439" s="3"/>
      <c r="S439" s="3"/>
      <c r="T439" s="3"/>
      <c r="U439" s="3"/>
      <c r="V439" s="3"/>
      <c r="W439" s="3"/>
      <c r="X439" s="3"/>
      <c r="Y439" s="3"/>
      <c r="Z439" s="3"/>
    </row>
    <row r="440" ht="27.0" customHeight="1">
      <c r="A440" s="3" t="s">
        <v>9</v>
      </c>
      <c r="B440" s="1" t="s">
        <v>853</v>
      </c>
      <c r="C440" s="1">
        <v>19.0</v>
      </c>
      <c r="D440" s="3" t="s">
        <v>897</v>
      </c>
      <c r="E440" s="5" t="s">
        <v>898</v>
      </c>
      <c r="F440" s="5" t="s">
        <v>899</v>
      </c>
      <c r="G440" s="3">
        <v>1.0</v>
      </c>
      <c r="H440" s="3" t="s">
        <v>114</v>
      </c>
      <c r="I440" s="3" t="s">
        <v>115</v>
      </c>
      <c r="J440" s="5"/>
      <c r="K440" s="3"/>
      <c r="L440" s="3"/>
      <c r="M440" s="3"/>
      <c r="N440" s="3"/>
      <c r="O440" s="3"/>
      <c r="P440" s="3"/>
      <c r="Q440" s="3"/>
      <c r="R440" s="3"/>
      <c r="S440" s="3"/>
      <c r="T440" s="3"/>
      <c r="U440" s="3"/>
      <c r="V440" s="3"/>
      <c r="W440" s="3"/>
      <c r="X440" s="3"/>
      <c r="Y440" s="3"/>
      <c r="Z440" s="3"/>
    </row>
    <row r="441" ht="27.0" customHeight="1">
      <c r="A441" s="3" t="s">
        <v>9</v>
      </c>
      <c r="B441" s="1" t="s">
        <v>853</v>
      </c>
      <c r="C441" s="1">
        <v>20.0</v>
      </c>
      <c r="D441" s="3" t="s">
        <v>900</v>
      </c>
      <c r="E441" s="5" t="s">
        <v>442</v>
      </c>
      <c r="F441" s="5" t="s">
        <v>901</v>
      </c>
      <c r="G441" s="3">
        <v>1.0</v>
      </c>
      <c r="H441" s="3" t="s">
        <v>114</v>
      </c>
      <c r="I441" s="3" t="s">
        <v>115</v>
      </c>
      <c r="J441" s="5"/>
      <c r="K441" s="3"/>
      <c r="L441" s="3"/>
      <c r="M441" s="3"/>
      <c r="N441" s="3"/>
      <c r="O441" s="3"/>
      <c r="P441" s="3"/>
      <c r="Q441" s="3"/>
      <c r="R441" s="3"/>
      <c r="S441" s="3"/>
      <c r="T441" s="3"/>
      <c r="U441" s="3"/>
      <c r="V441" s="3"/>
      <c r="W441" s="3"/>
      <c r="X441" s="3"/>
      <c r="Y441" s="3"/>
      <c r="Z441" s="3"/>
    </row>
    <row r="442" ht="27.0" customHeight="1">
      <c r="A442" s="3" t="s">
        <v>9</v>
      </c>
      <c r="B442" s="1" t="s">
        <v>853</v>
      </c>
      <c r="C442" s="1">
        <v>21.0</v>
      </c>
      <c r="D442" s="3" t="s">
        <v>902</v>
      </c>
      <c r="E442" s="5" t="s">
        <v>903</v>
      </c>
      <c r="F442" s="5" t="s">
        <v>904</v>
      </c>
      <c r="G442" s="3">
        <v>1.0</v>
      </c>
      <c r="H442" s="3" t="s">
        <v>333</v>
      </c>
      <c r="I442" s="3" t="s">
        <v>384</v>
      </c>
      <c r="J442" s="5"/>
      <c r="K442" s="3"/>
      <c r="L442" s="3"/>
      <c r="M442" s="3"/>
      <c r="N442" s="3"/>
      <c r="O442" s="3"/>
      <c r="P442" s="3"/>
      <c r="Q442" s="3"/>
      <c r="R442" s="3"/>
      <c r="S442" s="3"/>
      <c r="T442" s="3"/>
      <c r="U442" s="3"/>
      <c r="V442" s="3"/>
      <c r="W442" s="3"/>
      <c r="X442" s="3"/>
      <c r="Y442" s="3"/>
      <c r="Z442" s="3"/>
    </row>
    <row r="443" ht="27.0" customHeight="1">
      <c r="A443" s="3" t="s">
        <v>9</v>
      </c>
      <c r="B443" s="1" t="s">
        <v>853</v>
      </c>
      <c r="C443" s="1">
        <v>22.0</v>
      </c>
      <c r="D443" s="3" t="s">
        <v>32</v>
      </c>
      <c r="E443" s="5" t="s">
        <v>905</v>
      </c>
      <c r="F443" s="5" t="s">
        <v>906</v>
      </c>
      <c r="G443" s="3">
        <v>1.0</v>
      </c>
      <c r="H443" s="3" t="s">
        <v>114</v>
      </c>
      <c r="I443" s="3" t="s">
        <v>115</v>
      </c>
      <c r="J443" s="5"/>
      <c r="K443" s="3"/>
      <c r="L443" s="3"/>
      <c r="M443" s="3"/>
      <c r="N443" s="3"/>
      <c r="O443" s="3"/>
      <c r="P443" s="3"/>
      <c r="Q443" s="3"/>
      <c r="R443" s="3"/>
      <c r="S443" s="3"/>
      <c r="T443" s="3"/>
      <c r="U443" s="3"/>
      <c r="V443" s="3"/>
      <c r="W443" s="3"/>
      <c r="X443" s="3"/>
      <c r="Y443" s="3"/>
      <c r="Z443" s="3"/>
    </row>
    <row r="444" ht="27.0" customHeight="1">
      <c r="A444" s="3" t="s">
        <v>9</v>
      </c>
      <c r="B444" s="1" t="s">
        <v>853</v>
      </c>
      <c r="C444" s="1">
        <v>23.0</v>
      </c>
      <c r="D444" s="3" t="s">
        <v>907</v>
      </c>
      <c r="E444" s="5" t="s">
        <v>908</v>
      </c>
      <c r="F444" s="5" t="s">
        <v>909</v>
      </c>
      <c r="G444" s="3">
        <v>1.0</v>
      </c>
      <c r="H444" s="3" t="s">
        <v>114</v>
      </c>
      <c r="I444" s="3" t="s">
        <v>115</v>
      </c>
      <c r="J444" s="5"/>
      <c r="K444" s="3"/>
      <c r="L444" s="3"/>
      <c r="M444" s="3"/>
      <c r="N444" s="3"/>
      <c r="O444" s="3"/>
      <c r="P444" s="3"/>
      <c r="Q444" s="3"/>
      <c r="R444" s="3"/>
      <c r="S444" s="3"/>
      <c r="T444" s="3"/>
      <c r="U444" s="3"/>
      <c r="V444" s="3"/>
      <c r="W444" s="3"/>
      <c r="X444" s="3"/>
      <c r="Y444" s="3"/>
      <c r="Z444" s="3"/>
    </row>
    <row r="445" ht="27.0" customHeight="1">
      <c r="A445" s="3" t="s">
        <v>9</v>
      </c>
      <c r="B445" s="1" t="s">
        <v>853</v>
      </c>
      <c r="C445" s="1">
        <v>24.0</v>
      </c>
      <c r="D445" s="3" t="s">
        <v>910</v>
      </c>
      <c r="E445" s="5" t="s">
        <v>911</v>
      </c>
      <c r="F445" s="5" t="s">
        <v>912</v>
      </c>
      <c r="G445" s="3">
        <v>1.0</v>
      </c>
      <c r="H445" s="3" t="s">
        <v>413</v>
      </c>
      <c r="I445" s="3" t="s">
        <v>115</v>
      </c>
      <c r="J445" s="5"/>
      <c r="K445" s="3"/>
      <c r="L445" s="3"/>
      <c r="M445" s="3"/>
      <c r="N445" s="3"/>
      <c r="O445" s="3"/>
      <c r="P445" s="3"/>
      <c r="Q445" s="3"/>
      <c r="R445" s="3"/>
      <c r="S445" s="3"/>
      <c r="T445" s="3"/>
      <c r="U445" s="3"/>
      <c r="V445" s="3"/>
      <c r="W445" s="3"/>
      <c r="X445" s="3"/>
      <c r="Y445" s="3"/>
      <c r="Z445" s="3"/>
    </row>
    <row r="446" ht="27.0" customHeight="1">
      <c r="A446" s="3" t="s">
        <v>9</v>
      </c>
      <c r="B446" s="1" t="s">
        <v>853</v>
      </c>
      <c r="C446" s="1">
        <v>25.0</v>
      </c>
      <c r="D446" s="3" t="s">
        <v>265</v>
      </c>
      <c r="E446" s="5" t="s">
        <v>913</v>
      </c>
      <c r="F446" s="5" t="s">
        <v>914</v>
      </c>
      <c r="G446" s="3">
        <v>1.0</v>
      </c>
      <c r="H446" s="3" t="s">
        <v>915</v>
      </c>
      <c r="I446" s="3" t="s">
        <v>269</v>
      </c>
      <c r="J446" s="5"/>
      <c r="K446" s="3"/>
      <c r="L446" s="3"/>
      <c r="M446" s="3"/>
      <c r="N446" s="3"/>
      <c r="O446" s="3"/>
      <c r="P446" s="3"/>
      <c r="Q446" s="3"/>
      <c r="R446" s="3"/>
      <c r="S446" s="3"/>
      <c r="T446" s="3"/>
      <c r="U446" s="3"/>
      <c r="V446" s="3"/>
      <c r="W446" s="3"/>
      <c r="X446" s="3"/>
      <c r="Y446" s="3"/>
      <c r="Z446" s="3"/>
    </row>
    <row r="447" ht="27.0" customHeight="1">
      <c r="A447" s="3" t="s">
        <v>9</v>
      </c>
      <c r="B447" s="1" t="s">
        <v>853</v>
      </c>
      <c r="C447" s="1">
        <v>26.0</v>
      </c>
      <c r="D447" s="3" t="s">
        <v>32</v>
      </c>
      <c r="E447" s="5" t="s">
        <v>916</v>
      </c>
      <c r="F447" s="5" t="s">
        <v>917</v>
      </c>
      <c r="G447" s="3">
        <v>1.0</v>
      </c>
      <c r="H447" s="3" t="s">
        <v>190</v>
      </c>
      <c r="I447" s="3" t="s">
        <v>245</v>
      </c>
      <c r="J447" s="5"/>
      <c r="K447" s="3"/>
      <c r="L447" s="3"/>
      <c r="M447" s="3"/>
      <c r="N447" s="3"/>
      <c r="O447" s="3"/>
      <c r="P447" s="3"/>
      <c r="Q447" s="3"/>
      <c r="R447" s="3"/>
      <c r="S447" s="3"/>
      <c r="T447" s="3"/>
      <c r="U447" s="3"/>
      <c r="V447" s="3"/>
      <c r="W447" s="3"/>
      <c r="X447" s="3"/>
      <c r="Y447" s="3"/>
      <c r="Z447" s="3"/>
    </row>
    <row r="448" ht="27.0" customHeight="1">
      <c r="A448" s="3" t="s">
        <v>9</v>
      </c>
      <c r="B448" s="1" t="s">
        <v>853</v>
      </c>
      <c r="C448" s="1">
        <v>27.0</v>
      </c>
      <c r="D448" s="3" t="s">
        <v>918</v>
      </c>
      <c r="E448" s="5" t="s">
        <v>919</v>
      </c>
      <c r="F448" s="5" t="s">
        <v>920</v>
      </c>
      <c r="G448" s="3">
        <v>1.0</v>
      </c>
      <c r="H448" s="3" t="s">
        <v>124</v>
      </c>
      <c r="I448" s="3" t="s">
        <v>125</v>
      </c>
      <c r="J448" s="5"/>
      <c r="K448" s="3"/>
      <c r="L448" s="3"/>
      <c r="M448" s="3"/>
      <c r="N448" s="3"/>
      <c r="O448" s="3"/>
      <c r="P448" s="3"/>
      <c r="Q448" s="3"/>
      <c r="R448" s="3"/>
      <c r="S448" s="3"/>
      <c r="T448" s="3"/>
      <c r="U448" s="3"/>
      <c r="V448" s="3"/>
      <c r="W448" s="3"/>
      <c r="X448" s="3"/>
      <c r="Y448" s="3"/>
      <c r="Z448" s="3"/>
    </row>
    <row r="449" ht="27.0" customHeight="1">
      <c r="A449" s="3" t="s">
        <v>9</v>
      </c>
      <c r="B449" s="1" t="s">
        <v>853</v>
      </c>
      <c r="C449" s="1">
        <v>28.0</v>
      </c>
      <c r="D449" s="3" t="s">
        <v>921</v>
      </c>
      <c r="E449" s="5" t="s">
        <v>922</v>
      </c>
      <c r="F449" s="5" t="s">
        <v>923</v>
      </c>
      <c r="G449" s="3">
        <v>1.0</v>
      </c>
      <c r="H449" s="3" t="s">
        <v>141</v>
      </c>
      <c r="I449" s="3" t="s">
        <v>55</v>
      </c>
      <c r="J449" s="5"/>
      <c r="K449" s="3"/>
      <c r="L449" s="3"/>
      <c r="M449" s="3"/>
      <c r="N449" s="3"/>
      <c r="O449" s="3"/>
      <c r="P449" s="3"/>
      <c r="Q449" s="3"/>
      <c r="R449" s="3"/>
      <c r="S449" s="3"/>
      <c r="T449" s="3"/>
      <c r="U449" s="3"/>
      <c r="V449" s="3"/>
      <c r="W449" s="3"/>
      <c r="X449" s="3"/>
      <c r="Y449" s="3"/>
      <c r="Z449" s="3"/>
    </row>
    <row r="450" ht="27.0" customHeight="1">
      <c r="A450" s="3" t="s">
        <v>9</v>
      </c>
      <c r="B450" s="1" t="s">
        <v>853</v>
      </c>
      <c r="C450" s="1">
        <v>29.0</v>
      </c>
      <c r="D450" s="3" t="s">
        <v>924</v>
      </c>
      <c r="E450" s="5" t="s">
        <v>925</v>
      </c>
      <c r="F450" s="5" t="s">
        <v>926</v>
      </c>
      <c r="G450" s="3">
        <v>1.0</v>
      </c>
      <c r="H450" s="3" t="s">
        <v>44</v>
      </c>
      <c r="I450" s="3" t="s">
        <v>45</v>
      </c>
      <c r="J450" s="5"/>
      <c r="K450" s="3"/>
      <c r="L450" s="3"/>
      <c r="M450" s="3"/>
      <c r="N450" s="3"/>
      <c r="O450" s="3"/>
      <c r="P450" s="3"/>
      <c r="Q450" s="3"/>
      <c r="R450" s="3"/>
      <c r="S450" s="3"/>
      <c r="T450" s="3"/>
      <c r="U450" s="3"/>
      <c r="V450" s="3"/>
      <c r="W450" s="3"/>
      <c r="X450" s="3"/>
      <c r="Y450" s="3"/>
      <c r="Z450" s="3"/>
    </row>
    <row r="451" ht="27.0" customHeight="1">
      <c r="A451" s="3" t="s">
        <v>9</v>
      </c>
      <c r="B451" s="1" t="s">
        <v>853</v>
      </c>
      <c r="C451" s="1">
        <v>30.0</v>
      </c>
      <c r="D451" s="3" t="s">
        <v>32</v>
      </c>
      <c r="E451" s="5" t="s">
        <v>927</v>
      </c>
      <c r="F451" s="5" t="s">
        <v>928</v>
      </c>
      <c r="G451" s="3">
        <v>1.0</v>
      </c>
      <c r="H451" s="3" t="s">
        <v>44</v>
      </c>
      <c r="I451" s="3" t="s">
        <v>45</v>
      </c>
      <c r="J451" s="5"/>
      <c r="K451" s="3"/>
      <c r="L451" s="3"/>
      <c r="M451" s="3"/>
      <c r="N451" s="3"/>
      <c r="O451" s="3"/>
      <c r="P451" s="3"/>
      <c r="Q451" s="3"/>
      <c r="R451" s="3"/>
      <c r="S451" s="3"/>
      <c r="T451" s="3"/>
      <c r="U451" s="3"/>
      <c r="V451" s="3"/>
      <c r="W451" s="3"/>
      <c r="X451" s="3"/>
      <c r="Y451" s="3"/>
      <c r="Z451" s="3"/>
    </row>
    <row r="452" ht="27.0" customHeight="1">
      <c r="A452" s="3" t="s">
        <v>9</v>
      </c>
      <c r="B452" s="1" t="s">
        <v>853</v>
      </c>
      <c r="C452" s="1">
        <v>31.0</v>
      </c>
      <c r="D452" s="3" t="s">
        <v>929</v>
      </c>
      <c r="E452" s="5" t="s">
        <v>930</v>
      </c>
      <c r="F452" s="5" t="s">
        <v>931</v>
      </c>
      <c r="G452" s="3">
        <v>1.0</v>
      </c>
      <c r="H452" s="3" t="s">
        <v>54</v>
      </c>
      <c r="I452" s="3" t="s">
        <v>102</v>
      </c>
      <c r="J452" s="5"/>
      <c r="K452" s="3"/>
      <c r="L452" s="3"/>
      <c r="M452" s="3"/>
      <c r="N452" s="3"/>
      <c r="O452" s="3"/>
      <c r="P452" s="3"/>
      <c r="Q452" s="3"/>
      <c r="R452" s="3"/>
      <c r="S452" s="3"/>
      <c r="T452" s="3"/>
      <c r="U452" s="3"/>
      <c r="V452" s="3"/>
      <c r="W452" s="3"/>
      <c r="X452" s="3"/>
      <c r="Y452" s="3"/>
      <c r="Z452" s="3"/>
    </row>
    <row r="453" ht="27.0" customHeight="1">
      <c r="A453" s="3" t="s">
        <v>9</v>
      </c>
      <c r="B453" s="1" t="s">
        <v>853</v>
      </c>
      <c r="C453" s="1">
        <v>32.0</v>
      </c>
      <c r="D453" s="3" t="s">
        <v>932</v>
      </c>
      <c r="E453" s="5" t="s">
        <v>933</v>
      </c>
      <c r="F453" s="5" t="s">
        <v>934</v>
      </c>
      <c r="G453" s="3">
        <v>1.0</v>
      </c>
      <c r="H453" s="3" t="s">
        <v>59</v>
      </c>
      <c r="I453" s="3" t="s">
        <v>60</v>
      </c>
      <c r="J453" s="5"/>
      <c r="K453" s="3"/>
      <c r="L453" s="3"/>
      <c r="M453" s="3"/>
      <c r="N453" s="3"/>
      <c r="O453" s="3"/>
      <c r="P453" s="3"/>
      <c r="Q453" s="3"/>
      <c r="R453" s="3"/>
      <c r="S453" s="3"/>
      <c r="T453" s="3"/>
      <c r="U453" s="3"/>
      <c r="V453" s="3"/>
      <c r="W453" s="3"/>
      <c r="X453" s="3"/>
      <c r="Y453" s="3"/>
      <c r="Z453" s="3"/>
    </row>
    <row r="454" ht="27.0" customHeight="1">
      <c r="A454" s="3" t="s">
        <v>9</v>
      </c>
      <c r="B454" s="1" t="s">
        <v>853</v>
      </c>
      <c r="C454" s="1">
        <v>33.0</v>
      </c>
      <c r="D454" s="3" t="s">
        <v>32</v>
      </c>
      <c r="E454" s="5" t="s">
        <v>935</v>
      </c>
      <c r="F454" s="5" t="s">
        <v>936</v>
      </c>
      <c r="G454" s="3">
        <v>1.0</v>
      </c>
      <c r="H454" s="3" t="s">
        <v>120</v>
      </c>
      <c r="I454" s="3" t="s">
        <v>180</v>
      </c>
      <c r="J454" s="5"/>
      <c r="K454" s="3"/>
      <c r="L454" s="3"/>
      <c r="M454" s="3"/>
      <c r="N454" s="3"/>
      <c r="O454" s="3"/>
      <c r="P454" s="3"/>
      <c r="Q454" s="3"/>
      <c r="R454" s="3"/>
      <c r="S454" s="3"/>
      <c r="T454" s="3"/>
      <c r="U454" s="3"/>
      <c r="V454" s="3"/>
      <c r="W454" s="3"/>
      <c r="X454" s="3"/>
      <c r="Y454" s="3"/>
      <c r="Z454" s="3"/>
    </row>
    <row r="455" ht="27.0" customHeight="1">
      <c r="A455" s="3" t="s">
        <v>9</v>
      </c>
      <c r="B455" s="1" t="s">
        <v>853</v>
      </c>
      <c r="C455" s="1">
        <v>34.0</v>
      </c>
      <c r="D455" s="3" t="s">
        <v>32</v>
      </c>
      <c r="E455" s="5" t="s">
        <v>937</v>
      </c>
      <c r="F455" s="5" t="s">
        <v>938</v>
      </c>
      <c r="G455" s="3">
        <v>1.0</v>
      </c>
      <c r="H455" s="3" t="s">
        <v>285</v>
      </c>
      <c r="I455" s="3" t="s">
        <v>60</v>
      </c>
      <c r="J455" s="5"/>
      <c r="K455" s="3"/>
      <c r="L455" s="3"/>
      <c r="M455" s="3"/>
      <c r="N455" s="3"/>
      <c r="O455" s="3"/>
      <c r="P455" s="3"/>
      <c r="Q455" s="3"/>
      <c r="R455" s="3"/>
      <c r="S455" s="3"/>
      <c r="T455" s="3"/>
      <c r="U455" s="3"/>
      <c r="V455" s="3"/>
      <c r="W455" s="3"/>
      <c r="X455" s="3"/>
      <c r="Y455" s="3"/>
      <c r="Z455" s="3"/>
    </row>
    <row r="456" ht="27.0" customHeight="1">
      <c r="A456" s="3" t="s">
        <v>9</v>
      </c>
      <c r="B456" s="1" t="s">
        <v>853</v>
      </c>
      <c r="C456" s="1">
        <v>35.0</v>
      </c>
      <c r="D456" s="3" t="s">
        <v>32</v>
      </c>
      <c r="E456" s="5" t="s">
        <v>939</v>
      </c>
      <c r="F456" s="5" t="s">
        <v>940</v>
      </c>
      <c r="G456" s="3">
        <v>1.0</v>
      </c>
      <c r="H456" s="3" t="s">
        <v>317</v>
      </c>
      <c r="I456" s="3" t="s">
        <v>137</v>
      </c>
      <c r="J456" s="5"/>
      <c r="K456" s="3"/>
      <c r="L456" s="3"/>
      <c r="M456" s="3"/>
      <c r="N456" s="3"/>
      <c r="O456" s="3"/>
      <c r="P456" s="3"/>
      <c r="Q456" s="3"/>
      <c r="R456" s="3"/>
      <c r="S456" s="3"/>
      <c r="T456" s="3"/>
      <c r="U456" s="3"/>
      <c r="V456" s="3"/>
      <c r="W456" s="3"/>
      <c r="X456" s="3"/>
      <c r="Y456" s="3"/>
      <c r="Z456" s="3"/>
    </row>
    <row r="457" ht="27.0" customHeight="1">
      <c r="A457" s="3" t="s">
        <v>9</v>
      </c>
      <c r="B457" s="1" t="s">
        <v>853</v>
      </c>
      <c r="C457" s="1">
        <v>36.0</v>
      </c>
      <c r="D457" s="3" t="s">
        <v>941</v>
      </c>
      <c r="E457" s="5" t="s">
        <v>942</v>
      </c>
      <c r="F457" s="5" t="s">
        <v>943</v>
      </c>
      <c r="G457" s="3">
        <v>1.0</v>
      </c>
      <c r="H457" s="3" t="s">
        <v>317</v>
      </c>
      <c r="I457" s="3" t="s">
        <v>137</v>
      </c>
      <c r="J457" s="5"/>
      <c r="K457" s="3"/>
      <c r="L457" s="3"/>
      <c r="M457" s="3"/>
      <c r="N457" s="3"/>
      <c r="O457" s="3"/>
      <c r="P457" s="3"/>
      <c r="Q457" s="3"/>
      <c r="R457" s="3"/>
      <c r="S457" s="3"/>
      <c r="T457" s="3"/>
      <c r="U457" s="3"/>
      <c r="V457" s="3"/>
      <c r="W457" s="3"/>
      <c r="X457" s="3"/>
      <c r="Y457" s="3"/>
      <c r="Z457" s="3"/>
    </row>
    <row r="458" ht="27.0" customHeight="1">
      <c r="A458" s="3" t="s">
        <v>9</v>
      </c>
      <c r="B458" s="1" t="s">
        <v>853</v>
      </c>
      <c r="C458" s="1">
        <v>37.0</v>
      </c>
      <c r="D458" s="3" t="s">
        <v>944</v>
      </c>
      <c r="E458" s="5" t="s">
        <v>945</v>
      </c>
      <c r="F458" s="5" t="s">
        <v>946</v>
      </c>
      <c r="G458" s="3">
        <v>1.0</v>
      </c>
      <c r="H458" s="3" t="s">
        <v>317</v>
      </c>
      <c r="I458" s="3" t="s">
        <v>137</v>
      </c>
      <c r="J458" s="5"/>
      <c r="K458" s="3"/>
      <c r="L458" s="3"/>
      <c r="M458" s="3"/>
      <c r="N458" s="3"/>
      <c r="O458" s="3"/>
      <c r="P458" s="3"/>
      <c r="Q458" s="3"/>
      <c r="R458" s="3"/>
      <c r="S458" s="3"/>
      <c r="T458" s="3"/>
      <c r="U458" s="3"/>
      <c r="V458" s="3"/>
      <c r="W458" s="3"/>
      <c r="X458" s="3"/>
      <c r="Y458" s="3"/>
      <c r="Z458" s="3"/>
    </row>
    <row r="459" ht="27.0" customHeight="1">
      <c r="A459" s="3" t="s">
        <v>9</v>
      </c>
      <c r="B459" s="1" t="s">
        <v>853</v>
      </c>
      <c r="C459" s="1">
        <v>38.0</v>
      </c>
      <c r="D459" s="3" t="s">
        <v>32</v>
      </c>
      <c r="E459" s="5" t="s">
        <v>947</v>
      </c>
      <c r="F459" s="5" t="s">
        <v>948</v>
      </c>
      <c r="G459" s="3">
        <v>1.0</v>
      </c>
      <c r="H459" s="3" t="s">
        <v>317</v>
      </c>
      <c r="I459" s="3" t="s">
        <v>137</v>
      </c>
      <c r="J459" s="5"/>
      <c r="K459" s="3"/>
      <c r="L459" s="3"/>
      <c r="M459" s="3"/>
      <c r="N459" s="3"/>
      <c r="O459" s="3"/>
      <c r="P459" s="3"/>
      <c r="Q459" s="3"/>
      <c r="R459" s="3"/>
      <c r="S459" s="3"/>
      <c r="T459" s="3"/>
      <c r="U459" s="3"/>
      <c r="V459" s="3"/>
      <c r="W459" s="3"/>
      <c r="X459" s="3"/>
      <c r="Y459" s="3"/>
      <c r="Z459" s="3"/>
    </row>
    <row r="460" ht="27.0" customHeight="1">
      <c r="A460" s="3" t="s">
        <v>9</v>
      </c>
      <c r="B460" s="1" t="s">
        <v>853</v>
      </c>
      <c r="C460" s="1">
        <v>39.0</v>
      </c>
      <c r="D460" s="3" t="s">
        <v>32</v>
      </c>
      <c r="E460" s="5" t="s">
        <v>949</v>
      </c>
      <c r="F460" s="5" t="s">
        <v>950</v>
      </c>
      <c r="G460" s="3">
        <v>1.0</v>
      </c>
      <c r="H460" s="3" t="s">
        <v>317</v>
      </c>
      <c r="I460" s="3" t="s">
        <v>137</v>
      </c>
      <c r="J460" s="5"/>
      <c r="K460" s="3"/>
      <c r="L460" s="3"/>
      <c r="M460" s="3"/>
      <c r="N460" s="3"/>
      <c r="O460" s="3"/>
      <c r="P460" s="3"/>
      <c r="Q460" s="3"/>
      <c r="R460" s="3"/>
      <c r="S460" s="3"/>
      <c r="T460" s="3"/>
      <c r="U460" s="3"/>
      <c r="V460" s="3"/>
      <c r="W460" s="3"/>
      <c r="X460" s="3"/>
      <c r="Y460" s="3"/>
      <c r="Z460" s="3"/>
    </row>
    <row r="461" ht="27.0" customHeight="1">
      <c r="A461" s="3" t="s">
        <v>9</v>
      </c>
      <c r="B461" s="1" t="s">
        <v>853</v>
      </c>
      <c r="C461" s="1">
        <v>40.0</v>
      </c>
      <c r="D461" s="3" t="s">
        <v>951</v>
      </c>
      <c r="E461" s="5" t="s">
        <v>952</v>
      </c>
      <c r="F461" s="5" t="s">
        <v>953</v>
      </c>
      <c r="G461" s="3">
        <v>1.0</v>
      </c>
      <c r="H461" s="3" t="s">
        <v>317</v>
      </c>
      <c r="I461" s="3" t="s">
        <v>137</v>
      </c>
      <c r="J461" s="5"/>
      <c r="K461" s="3"/>
      <c r="L461" s="3"/>
      <c r="M461" s="3"/>
      <c r="N461" s="3"/>
      <c r="O461" s="3"/>
      <c r="P461" s="3"/>
      <c r="Q461" s="3"/>
      <c r="R461" s="3"/>
      <c r="S461" s="3"/>
      <c r="T461" s="3"/>
      <c r="U461" s="3"/>
      <c r="V461" s="3"/>
      <c r="W461" s="3"/>
      <c r="X461" s="3"/>
      <c r="Y461" s="3"/>
      <c r="Z461" s="3"/>
    </row>
    <row r="462" ht="27.0" customHeight="1">
      <c r="A462" s="3" t="s">
        <v>9</v>
      </c>
      <c r="B462" s="1" t="s">
        <v>853</v>
      </c>
      <c r="C462" s="1">
        <v>41.0</v>
      </c>
      <c r="D462" s="3" t="s">
        <v>51</v>
      </c>
      <c r="E462" s="5" t="s">
        <v>954</v>
      </c>
      <c r="F462" s="5" t="s">
        <v>955</v>
      </c>
      <c r="G462" s="3">
        <v>1.0</v>
      </c>
      <c r="H462" s="3" t="s">
        <v>141</v>
      </c>
      <c r="I462" s="3" t="s">
        <v>55</v>
      </c>
      <c r="J462" s="5"/>
      <c r="K462" s="3"/>
      <c r="L462" s="3"/>
      <c r="M462" s="3"/>
      <c r="N462" s="3"/>
      <c r="O462" s="3"/>
      <c r="P462" s="3"/>
      <c r="Q462" s="3"/>
      <c r="R462" s="3"/>
      <c r="S462" s="3"/>
      <c r="T462" s="3"/>
      <c r="U462" s="3"/>
      <c r="V462" s="3"/>
      <c r="W462" s="3"/>
      <c r="X462" s="3"/>
      <c r="Y462" s="3"/>
      <c r="Z462" s="3"/>
    </row>
    <row r="463" ht="27.0" customHeight="1">
      <c r="A463" s="3" t="s">
        <v>9</v>
      </c>
      <c r="B463" s="1" t="s">
        <v>853</v>
      </c>
      <c r="C463" s="1">
        <v>42.0</v>
      </c>
      <c r="D463" s="3" t="s">
        <v>32</v>
      </c>
      <c r="E463" s="5" t="s">
        <v>956</v>
      </c>
      <c r="F463" s="5" t="s">
        <v>957</v>
      </c>
      <c r="G463" s="3">
        <v>1.0</v>
      </c>
      <c r="H463" s="3" t="s">
        <v>958</v>
      </c>
      <c r="I463" s="3" t="s">
        <v>151</v>
      </c>
      <c r="J463" s="5"/>
      <c r="K463" s="3"/>
      <c r="L463" s="3"/>
      <c r="M463" s="3"/>
      <c r="N463" s="3"/>
      <c r="O463" s="3"/>
      <c r="P463" s="3"/>
      <c r="Q463" s="3"/>
      <c r="R463" s="3"/>
      <c r="S463" s="3"/>
      <c r="T463" s="3"/>
      <c r="U463" s="3"/>
      <c r="V463" s="3"/>
      <c r="W463" s="3"/>
      <c r="X463" s="3"/>
      <c r="Y463" s="3"/>
      <c r="Z463" s="3"/>
    </row>
    <row r="464" ht="27.0" customHeight="1">
      <c r="A464" s="3" t="s">
        <v>9</v>
      </c>
      <c r="B464" s="1" t="s">
        <v>853</v>
      </c>
      <c r="C464" s="1">
        <v>43.0</v>
      </c>
      <c r="D464" s="3" t="s">
        <v>32</v>
      </c>
      <c r="E464" s="5" t="s">
        <v>959</v>
      </c>
      <c r="F464" s="5" t="s">
        <v>960</v>
      </c>
      <c r="G464" s="3">
        <v>1.0</v>
      </c>
      <c r="H464" s="3" t="s">
        <v>301</v>
      </c>
      <c r="I464" s="3" t="s">
        <v>110</v>
      </c>
      <c r="J464" s="5"/>
      <c r="K464" s="3"/>
      <c r="L464" s="3"/>
      <c r="M464" s="3"/>
      <c r="N464" s="3"/>
      <c r="O464" s="3"/>
      <c r="P464" s="3"/>
      <c r="Q464" s="3"/>
      <c r="R464" s="3"/>
      <c r="S464" s="3"/>
      <c r="T464" s="3"/>
      <c r="U464" s="3"/>
      <c r="V464" s="3"/>
      <c r="W464" s="3"/>
      <c r="X464" s="3"/>
      <c r="Y464" s="3"/>
      <c r="Z464" s="3"/>
    </row>
    <row r="465" ht="27.0" customHeight="1">
      <c r="A465" s="3" t="s">
        <v>9</v>
      </c>
      <c r="B465" s="1" t="s">
        <v>853</v>
      </c>
      <c r="C465" s="1">
        <v>44.0</v>
      </c>
      <c r="D465" s="3" t="s">
        <v>32</v>
      </c>
      <c r="E465" s="5" t="s">
        <v>961</v>
      </c>
      <c r="F465" s="5" t="s">
        <v>962</v>
      </c>
      <c r="G465" s="3">
        <v>1.0</v>
      </c>
      <c r="H465" s="3" t="s">
        <v>301</v>
      </c>
      <c r="I465" s="3" t="s">
        <v>302</v>
      </c>
      <c r="J465" s="5"/>
      <c r="K465" s="3"/>
      <c r="L465" s="3"/>
      <c r="M465" s="3"/>
      <c r="N465" s="3"/>
      <c r="O465" s="3"/>
      <c r="P465" s="3"/>
      <c r="Q465" s="3"/>
      <c r="R465" s="3"/>
      <c r="S465" s="3"/>
      <c r="T465" s="3"/>
      <c r="U465" s="3"/>
      <c r="V465" s="3"/>
      <c r="W465" s="3"/>
      <c r="X465" s="3"/>
      <c r="Y465" s="3"/>
      <c r="Z465" s="3"/>
    </row>
    <row r="466" ht="27.0" customHeight="1">
      <c r="A466" s="3" t="s">
        <v>9</v>
      </c>
      <c r="B466" s="1" t="s">
        <v>853</v>
      </c>
      <c r="C466" s="1">
        <v>45.0</v>
      </c>
      <c r="D466" s="3" t="s">
        <v>32</v>
      </c>
      <c r="E466" s="5" t="s">
        <v>963</v>
      </c>
      <c r="F466" s="5" t="s">
        <v>964</v>
      </c>
      <c r="G466" s="3">
        <v>1.0</v>
      </c>
      <c r="H466" s="3" t="s">
        <v>301</v>
      </c>
      <c r="I466" s="3" t="s">
        <v>302</v>
      </c>
      <c r="J466" s="5"/>
      <c r="K466" s="3"/>
      <c r="L466" s="3"/>
      <c r="M466" s="3"/>
      <c r="N466" s="3"/>
      <c r="O466" s="3"/>
      <c r="P466" s="3"/>
      <c r="Q466" s="3"/>
      <c r="R466" s="3"/>
      <c r="S466" s="3"/>
      <c r="T466" s="3"/>
      <c r="U466" s="3"/>
      <c r="V466" s="3"/>
      <c r="W466" s="3"/>
      <c r="X466" s="3"/>
      <c r="Y466" s="3"/>
      <c r="Z466" s="3"/>
    </row>
    <row r="467" ht="27.0" customHeight="1">
      <c r="A467" s="3" t="s">
        <v>9</v>
      </c>
      <c r="B467" s="1" t="s">
        <v>853</v>
      </c>
      <c r="C467" s="1">
        <v>46.0</v>
      </c>
      <c r="D467" s="3" t="s">
        <v>32</v>
      </c>
      <c r="E467" s="5" t="s">
        <v>965</v>
      </c>
      <c r="F467" s="5" t="s">
        <v>966</v>
      </c>
      <c r="G467" s="3">
        <v>1.0</v>
      </c>
      <c r="H467" s="3" t="s">
        <v>105</v>
      </c>
      <c r="I467" s="3" t="s">
        <v>106</v>
      </c>
      <c r="J467" s="5"/>
      <c r="K467" s="3"/>
      <c r="L467" s="3"/>
      <c r="M467" s="3"/>
      <c r="N467" s="3"/>
      <c r="O467" s="3"/>
      <c r="P467" s="3"/>
      <c r="Q467" s="3"/>
      <c r="R467" s="3"/>
      <c r="S467" s="3"/>
      <c r="T467" s="3"/>
      <c r="U467" s="3"/>
      <c r="V467" s="3"/>
      <c r="W467" s="3"/>
      <c r="X467" s="3"/>
      <c r="Y467" s="3"/>
      <c r="Z467" s="3"/>
    </row>
    <row r="468" ht="27.0" customHeight="1">
      <c r="A468" s="3" t="s">
        <v>9</v>
      </c>
      <c r="B468" s="1" t="s">
        <v>853</v>
      </c>
      <c r="C468" s="1">
        <v>47.0</v>
      </c>
      <c r="D468" s="3" t="s">
        <v>967</v>
      </c>
      <c r="E468" s="5" t="s">
        <v>968</v>
      </c>
      <c r="F468" s="5" t="s">
        <v>969</v>
      </c>
      <c r="G468" s="3">
        <v>1.0</v>
      </c>
      <c r="H468" s="3" t="s">
        <v>91</v>
      </c>
      <c r="I468" s="3" t="s">
        <v>92</v>
      </c>
      <c r="J468" s="5"/>
      <c r="K468" s="3"/>
      <c r="L468" s="3"/>
      <c r="M468" s="3"/>
      <c r="N468" s="3"/>
      <c r="O468" s="3"/>
      <c r="P468" s="3"/>
      <c r="Q468" s="3"/>
      <c r="R468" s="3"/>
      <c r="S468" s="3"/>
      <c r="T468" s="3"/>
      <c r="U468" s="3"/>
      <c r="V468" s="3"/>
      <c r="W468" s="3"/>
      <c r="X468" s="3"/>
      <c r="Y468" s="3"/>
      <c r="Z468" s="3"/>
    </row>
    <row r="469" ht="27.0" customHeight="1">
      <c r="A469" s="3" t="s">
        <v>9</v>
      </c>
      <c r="B469" s="1" t="s">
        <v>853</v>
      </c>
      <c r="C469" s="1">
        <v>48.0</v>
      </c>
      <c r="D469" s="3" t="s">
        <v>970</v>
      </c>
      <c r="E469" s="5" t="s">
        <v>971</v>
      </c>
      <c r="F469" s="5" t="s">
        <v>972</v>
      </c>
      <c r="G469" s="3">
        <v>1.0</v>
      </c>
      <c r="H469" s="3" t="s">
        <v>91</v>
      </c>
      <c r="I469" s="3" t="s">
        <v>92</v>
      </c>
      <c r="J469" s="5"/>
      <c r="K469" s="3"/>
      <c r="L469" s="3"/>
      <c r="M469" s="3"/>
      <c r="N469" s="3"/>
      <c r="O469" s="3"/>
      <c r="P469" s="3"/>
      <c r="Q469" s="3"/>
      <c r="R469" s="3"/>
      <c r="S469" s="3"/>
      <c r="T469" s="3"/>
      <c r="U469" s="3"/>
      <c r="V469" s="3"/>
      <c r="W469" s="3"/>
      <c r="X469" s="3"/>
      <c r="Y469" s="3"/>
      <c r="Z469" s="3"/>
    </row>
    <row r="470" ht="27.0" customHeight="1">
      <c r="A470" s="3" t="s">
        <v>9</v>
      </c>
      <c r="B470" s="1" t="s">
        <v>853</v>
      </c>
      <c r="C470" s="1">
        <v>49.0</v>
      </c>
      <c r="D470" s="3" t="s">
        <v>32</v>
      </c>
      <c r="E470" s="5" t="s">
        <v>973</v>
      </c>
      <c r="F470" s="5" t="s">
        <v>974</v>
      </c>
      <c r="G470" s="3">
        <v>1.0</v>
      </c>
      <c r="H470" s="3" t="s">
        <v>150</v>
      </c>
      <c r="I470" s="3" t="s">
        <v>151</v>
      </c>
      <c r="J470" s="5"/>
      <c r="K470" s="3"/>
      <c r="L470" s="3"/>
      <c r="M470" s="3"/>
      <c r="N470" s="3"/>
      <c r="O470" s="3"/>
      <c r="P470" s="3"/>
      <c r="Q470" s="3"/>
      <c r="R470" s="3"/>
      <c r="S470" s="3"/>
      <c r="T470" s="3"/>
      <c r="U470" s="3"/>
      <c r="V470" s="3"/>
      <c r="W470" s="3"/>
      <c r="X470" s="3"/>
      <c r="Y470" s="3"/>
      <c r="Z470" s="3"/>
    </row>
    <row r="471" ht="27.0" customHeight="1">
      <c r="A471" s="3" t="s">
        <v>9</v>
      </c>
      <c r="B471" s="1" t="s">
        <v>853</v>
      </c>
      <c r="C471" s="1">
        <v>50.0</v>
      </c>
      <c r="D471" s="3" t="s">
        <v>975</v>
      </c>
      <c r="E471" s="5" t="s">
        <v>976</v>
      </c>
      <c r="F471" s="5" t="s">
        <v>977</v>
      </c>
      <c r="G471" s="3">
        <v>1.0</v>
      </c>
      <c r="H471" s="3" t="s">
        <v>35</v>
      </c>
      <c r="I471" s="3" t="s">
        <v>36</v>
      </c>
      <c r="J471" s="5"/>
      <c r="K471" s="3"/>
      <c r="L471" s="3"/>
      <c r="M471" s="3"/>
      <c r="N471" s="3"/>
      <c r="O471" s="3"/>
      <c r="P471" s="3"/>
      <c r="Q471" s="3"/>
      <c r="R471" s="3"/>
      <c r="S471" s="3"/>
      <c r="T471" s="3"/>
      <c r="U471" s="3"/>
      <c r="V471" s="3"/>
      <c r="W471" s="3"/>
      <c r="X471" s="3"/>
      <c r="Y471" s="3"/>
      <c r="Z471" s="3"/>
    </row>
    <row r="472" ht="27.0" customHeight="1">
      <c r="A472" s="3" t="s">
        <v>9</v>
      </c>
      <c r="B472" s="1" t="s">
        <v>853</v>
      </c>
      <c r="C472" s="1">
        <v>51.0</v>
      </c>
      <c r="D472" s="3" t="s">
        <v>32</v>
      </c>
      <c r="E472" s="5" t="s">
        <v>978</v>
      </c>
      <c r="F472" s="5" t="s">
        <v>979</v>
      </c>
      <c r="G472" s="3">
        <v>1.0</v>
      </c>
      <c r="H472" s="3" t="s">
        <v>145</v>
      </c>
      <c r="I472" s="3" t="s">
        <v>146</v>
      </c>
      <c r="J472" s="5"/>
      <c r="K472" s="3"/>
      <c r="L472" s="3"/>
      <c r="M472" s="3"/>
      <c r="N472" s="3"/>
      <c r="O472" s="3"/>
      <c r="P472" s="3"/>
      <c r="Q472" s="3"/>
      <c r="R472" s="3"/>
      <c r="S472" s="3"/>
      <c r="T472" s="3"/>
      <c r="U472" s="3"/>
      <c r="V472" s="3"/>
      <c r="W472" s="3"/>
      <c r="X472" s="3"/>
      <c r="Y472" s="3"/>
      <c r="Z472" s="3"/>
    </row>
    <row r="473" ht="27.0" customHeight="1">
      <c r="A473" s="3" t="s">
        <v>9</v>
      </c>
      <c r="B473" s="1" t="s">
        <v>853</v>
      </c>
      <c r="C473" s="1">
        <v>52.0</v>
      </c>
      <c r="D473" s="3" t="s">
        <v>32</v>
      </c>
      <c r="E473" s="5" t="s">
        <v>980</v>
      </c>
      <c r="F473" s="5" t="s">
        <v>981</v>
      </c>
      <c r="G473" s="3">
        <v>1.0</v>
      </c>
      <c r="H473" s="3" t="s">
        <v>375</v>
      </c>
      <c r="I473" s="3" t="s">
        <v>376</v>
      </c>
      <c r="J473" s="5"/>
      <c r="K473" s="3"/>
      <c r="L473" s="3"/>
      <c r="M473" s="3"/>
      <c r="N473" s="3"/>
      <c r="O473" s="3"/>
      <c r="P473" s="3"/>
      <c r="Q473" s="3"/>
      <c r="R473" s="3"/>
      <c r="S473" s="3"/>
      <c r="T473" s="3"/>
      <c r="U473" s="3"/>
      <c r="V473" s="3"/>
      <c r="W473" s="3"/>
      <c r="X473" s="3"/>
      <c r="Y473" s="3"/>
      <c r="Z473" s="3"/>
    </row>
    <row r="474" ht="27.0" customHeight="1">
      <c r="A474" s="3" t="s">
        <v>9</v>
      </c>
      <c r="B474" s="1" t="s">
        <v>853</v>
      </c>
      <c r="C474" s="1">
        <v>53.0</v>
      </c>
      <c r="D474" s="3" t="s">
        <v>982</v>
      </c>
      <c r="E474" s="5" t="s">
        <v>983</v>
      </c>
      <c r="F474" s="5" t="s">
        <v>984</v>
      </c>
      <c r="G474" s="3">
        <v>1.0</v>
      </c>
      <c r="H474" s="3" t="s">
        <v>375</v>
      </c>
      <c r="I474" s="3" t="s">
        <v>376</v>
      </c>
      <c r="J474" s="5"/>
      <c r="K474" s="3"/>
      <c r="L474" s="3"/>
      <c r="M474" s="3"/>
      <c r="N474" s="3"/>
      <c r="O474" s="3"/>
      <c r="P474" s="3"/>
      <c r="Q474" s="3"/>
      <c r="R474" s="3"/>
      <c r="S474" s="3"/>
      <c r="T474" s="3"/>
      <c r="U474" s="3"/>
      <c r="V474" s="3"/>
      <c r="W474" s="3"/>
      <c r="X474" s="3"/>
      <c r="Y474" s="3"/>
      <c r="Z474" s="3"/>
    </row>
    <row r="475" ht="27.0" customHeight="1">
      <c r="A475" s="3" t="s">
        <v>9</v>
      </c>
      <c r="B475" s="1" t="s">
        <v>853</v>
      </c>
      <c r="C475" s="1">
        <v>54.0</v>
      </c>
      <c r="D475" s="3" t="s">
        <v>32</v>
      </c>
      <c r="E475" s="5" t="s">
        <v>985</v>
      </c>
      <c r="F475" s="5" t="s">
        <v>986</v>
      </c>
      <c r="G475" s="3">
        <v>1.0</v>
      </c>
      <c r="H475" s="3" t="s">
        <v>145</v>
      </c>
      <c r="I475" s="3" t="s">
        <v>146</v>
      </c>
      <c r="J475" s="5"/>
      <c r="K475" s="3"/>
      <c r="L475" s="3"/>
      <c r="M475" s="3"/>
      <c r="N475" s="3"/>
      <c r="O475" s="3"/>
      <c r="P475" s="3"/>
      <c r="Q475" s="3"/>
      <c r="R475" s="3"/>
      <c r="S475" s="3"/>
      <c r="T475" s="3"/>
      <c r="U475" s="3"/>
      <c r="V475" s="3"/>
      <c r="W475" s="3"/>
      <c r="X475" s="3"/>
      <c r="Y475" s="3"/>
      <c r="Z475" s="3"/>
    </row>
    <row r="476">
      <c r="A476" s="3"/>
      <c r="B476" s="1"/>
      <c r="C476" s="1"/>
      <c r="D476" s="3"/>
      <c r="E476" s="5"/>
      <c r="F476" s="3"/>
      <c r="G476" s="3"/>
      <c r="H476" s="3"/>
      <c r="I476" s="3"/>
      <c r="J476" s="5"/>
      <c r="K476" s="3"/>
      <c r="L476" s="3"/>
      <c r="M476" s="3"/>
      <c r="N476" s="3"/>
      <c r="O476" s="3"/>
      <c r="P476" s="3"/>
      <c r="Q476" s="3"/>
      <c r="R476" s="3"/>
      <c r="S476" s="3"/>
      <c r="T476" s="3"/>
      <c r="U476" s="3"/>
      <c r="V476" s="3"/>
      <c r="W476" s="3"/>
      <c r="X476" s="3"/>
      <c r="Y476" s="3"/>
      <c r="Z476" s="3"/>
    </row>
    <row r="477">
      <c r="A477" s="3"/>
      <c r="B477" s="1"/>
      <c r="C477" s="1"/>
      <c r="D477" s="3"/>
      <c r="E477" s="5"/>
      <c r="F477" s="3"/>
      <c r="G477" s="3"/>
      <c r="H477" s="3"/>
      <c r="I477" s="3"/>
      <c r="J477" s="5"/>
      <c r="K477" s="3"/>
      <c r="L477" s="3"/>
      <c r="M477" s="3"/>
      <c r="N477" s="3"/>
      <c r="O477" s="3"/>
      <c r="P477" s="3"/>
      <c r="Q477" s="3"/>
      <c r="R477" s="3"/>
      <c r="S477" s="3"/>
      <c r="T477" s="3"/>
      <c r="U477" s="3"/>
      <c r="V477" s="3"/>
      <c r="W477" s="3"/>
      <c r="X477" s="3"/>
      <c r="Y477" s="3"/>
      <c r="Z477" s="3"/>
    </row>
    <row r="478">
      <c r="A478" s="3"/>
      <c r="B478" s="1"/>
      <c r="C478" s="1"/>
      <c r="D478" s="3"/>
      <c r="E478" s="5"/>
      <c r="F478" s="3"/>
      <c r="G478" s="3"/>
      <c r="H478" s="3"/>
      <c r="I478" s="3"/>
      <c r="J478" s="5"/>
      <c r="K478" s="3"/>
      <c r="L478" s="3"/>
      <c r="M478" s="3"/>
      <c r="N478" s="3"/>
      <c r="O478" s="3"/>
      <c r="P478" s="3"/>
      <c r="Q478" s="3"/>
      <c r="R478" s="3"/>
      <c r="S478" s="3"/>
      <c r="T478" s="3"/>
      <c r="U478" s="3"/>
      <c r="V478" s="3"/>
      <c r="W478" s="3"/>
      <c r="X478" s="3"/>
      <c r="Y478" s="3"/>
      <c r="Z478" s="3"/>
    </row>
    <row r="479">
      <c r="A479" s="3"/>
      <c r="B479" s="1"/>
      <c r="C479" s="1"/>
      <c r="D479" s="3"/>
      <c r="E479" s="5"/>
      <c r="F479" s="3"/>
      <c r="G479" s="3"/>
      <c r="H479" s="3"/>
      <c r="I479" s="3"/>
      <c r="J479" s="5"/>
      <c r="K479" s="3"/>
      <c r="L479" s="3"/>
      <c r="M479" s="3"/>
      <c r="N479" s="3"/>
      <c r="O479" s="3"/>
      <c r="P479" s="3"/>
      <c r="Q479" s="3"/>
      <c r="R479" s="3"/>
      <c r="S479" s="3"/>
      <c r="T479" s="3"/>
      <c r="U479" s="3"/>
      <c r="V479" s="3"/>
      <c r="W479" s="3"/>
      <c r="X479" s="3"/>
      <c r="Y479" s="3"/>
      <c r="Z479" s="3"/>
    </row>
    <row r="480">
      <c r="A480" s="3"/>
      <c r="B480" s="1"/>
      <c r="C480" s="1"/>
      <c r="D480" s="3"/>
      <c r="E480" s="5"/>
      <c r="F480" s="3"/>
      <c r="G480" s="3"/>
      <c r="H480" s="3"/>
      <c r="I480" s="3"/>
      <c r="J480" s="5"/>
      <c r="K480" s="3"/>
      <c r="L480" s="3"/>
      <c r="M480" s="3"/>
      <c r="N480" s="3"/>
      <c r="O480" s="3"/>
      <c r="P480" s="3"/>
      <c r="Q480" s="3"/>
      <c r="R480" s="3"/>
      <c r="S480" s="3"/>
      <c r="T480" s="3"/>
      <c r="U480" s="3"/>
      <c r="V480" s="3"/>
      <c r="W480" s="3"/>
      <c r="X480" s="3"/>
      <c r="Y480" s="3"/>
      <c r="Z480" s="3"/>
    </row>
    <row r="481">
      <c r="A481" s="3"/>
      <c r="B481" s="1"/>
      <c r="C481" s="1"/>
      <c r="D481" s="3"/>
      <c r="E481" s="5"/>
      <c r="F481" s="3"/>
      <c r="G481" s="3"/>
      <c r="H481" s="3"/>
      <c r="I481" s="3"/>
      <c r="J481" s="5"/>
      <c r="K481" s="3"/>
      <c r="L481" s="3"/>
      <c r="M481" s="3"/>
      <c r="N481" s="3"/>
      <c r="O481" s="3"/>
      <c r="P481" s="3"/>
      <c r="Q481" s="3"/>
      <c r="R481" s="3"/>
      <c r="S481" s="3"/>
      <c r="T481" s="3"/>
      <c r="U481" s="3"/>
      <c r="V481" s="3"/>
      <c r="W481" s="3"/>
      <c r="X481" s="3"/>
      <c r="Y481" s="3"/>
      <c r="Z481" s="3"/>
    </row>
    <row r="482">
      <c r="A482" s="3"/>
      <c r="B482" s="1"/>
      <c r="C482" s="1"/>
      <c r="D482" s="3"/>
      <c r="E482" s="5"/>
      <c r="F482" s="3"/>
      <c r="G482" s="3"/>
      <c r="H482" s="3"/>
      <c r="I482" s="3"/>
      <c r="J482" s="5"/>
      <c r="K482" s="3"/>
      <c r="L482" s="3"/>
      <c r="M482" s="3"/>
      <c r="N482" s="3"/>
      <c r="O482" s="3"/>
      <c r="P482" s="3"/>
      <c r="Q482" s="3"/>
      <c r="R482" s="3"/>
      <c r="S482" s="3"/>
      <c r="T482" s="3"/>
      <c r="U482" s="3"/>
      <c r="V482" s="3"/>
      <c r="W482" s="3"/>
      <c r="X482" s="3"/>
      <c r="Y482" s="3"/>
      <c r="Z482" s="3"/>
    </row>
    <row r="483">
      <c r="A483" s="3"/>
      <c r="B483" s="1"/>
      <c r="C483" s="1"/>
      <c r="D483" s="3"/>
      <c r="E483" s="5"/>
      <c r="F483" s="3"/>
      <c r="G483" s="3"/>
      <c r="H483" s="3"/>
      <c r="I483" s="3"/>
      <c r="J483" s="5"/>
      <c r="K483" s="3"/>
      <c r="L483" s="3"/>
      <c r="M483" s="3"/>
      <c r="N483" s="3"/>
      <c r="O483" s="3"/>
      <c r="P483" s="3"/>
      <c r="Q483" s="3"/>
      <c r="R483" s="3"/>
      <c r="S483" s="3"/>
      <c r="T483" s="3"/>
      <c r="U483" s="3"/>
      <c r="V483" s="3"/>
      <c r="W483" s="3"/>
      <c r="X483" s="3"/>
      <c r="Y483" s="3"/>
      <c r="Z483" s="3"/>
    </row>
    <row r="484">
      <c r="A484" s="3"/>
      <c r="B484" s="1"/>
      <c r="C484" s="1"/>
      <c r="D484" s="3"/>
      <c r="E484" s="5"/>
      <c r="F484" s="3"/>
      <c r="G484" s="3"/>
      <c r="H484" s="3"/>
      <c r="I484" s="3"/>
      <c r="J484" s="5"/>
      <c r="K484" s="3"/>
      <c r="L484" s="3"/>
      <c r="M484" s="3"/>
      <c r="N484" s="3"/>
      <c r="O484" s="3"/>
      <c r="P484" s="3"/>
      <c r="Q484" s="3"/>
      <c r="R484" s="3"/>
      <c r="S484" s="3"/>
      <c r="T484" s="3"/>
      <c r="U484" s="3"/>
      <c r="V484" s="3"/>
      <c r="W484" s="3"/>
      <c r="X484" s="3"/>
      <c r="Y484" s="3"/>
      <c r="Z484" s="3"/>
    </row>
    <row r="485">
      <c r="A485" s="3"/>
      <c r="B485" s="1"/>
      <c r="C485" s="1"/>
      <c r="D485" s="3"/>
      <c r="E485" s="5"/>
      <c r="F485" s="3"/>
      <c r="G485" s="3"/>
      <c r="H485" s="3"/>
      <c r="I485" s="3"/>
      <c r="J485" s="5"/>
      <c r="K485" s="3"/>
      <c r="L485" s="3"/>
      <c r="M485" s="3"/>
      <c r="N485" s="3"/>
      <c r="O485" s="3"/>
      <c r="P485" s="3"/>
      <c r="Q485" s="3"/>
      <c r="R485" s="3"/>
      <c r="S485" s="3"/>
      <c r="T485" s="3"/>
      <c r="U485" s="3"/>
      <c r="V485" s="3"/>
      <c r="W485" s="3"/>
      <c r="X485" s="3"/>
      <c r="Y485" s="3"/>
      <c r="Z485" s="3"/>
    </row>
    <row r="486">
      <c r="A486" s="3"/>
      <c r="B486" s="1"/>
      <c r="C486" s="1"/>
      <c r="D486" s="3"/>
      <c r="E486" s="5"/>
      <c r="F486" s="3"/>
      <c r="G486" s="3"/>
      <c r="H486" s="3"/>
      <c r="I486" s="3"/>
      <c r="J486" s="5"/>
      <c r="K486" s="3"/>
      <c r="L486" s="3"/>
      <c r="M486" s="3"/>
      <c r="N486" s="3"/>
      <c r="O486" s="3"/>
      <c r="P486" s="3"/>
      <c r="Q486" s="3"/>
      <c r="R486" s="3"/>
      <c r="S486" s="3"/>
      <c r="T486" s="3"/>
      <c r="U486" s="3"/>
      <c r="V486" s="3"/>
      <c r="W486" s="3"/>
      <c r="X486" s="3"/>
      <c r="Y486" s="3"/>
      <c r="Z486" s="3"/>
    </row>
    <row r="487">
      <c r="A487" s="3"/>
      <c r="B487" s="1"/>
      <c r="C487" s="1"/>
      <c r="D487" s="3"/>
      <c r="E487" s="5"/>
      <c r="F487" s="3"/>
      <c r="G487" s="3"/>
      <c r="H487" s="3"/>
      <c r="I487" s="3"/>
      <c r="J487" s="5"/>
      <c r="K487" s="3"/>
      <c r="L487" s="3"/>
      <c r="M487" s="3"/>
      <c r="N487" s="3"/>
      <c r="O487" s="3"/>
      <c r="P487" s="3"/>
      <c r="Q487" s="3"/>
      <c r="R487" s="3"/>
      <c r="S487" s="3"/>
      <c r="T487" s="3"/>
      <c r="U487" s="3"/>
      <c r="V487" s="3"/>
      <c r="W487" s="3"/>
      <c r="X487" s="3"/>
      <c r="Y487" s="3"/>
      <c r="Z487" s="3"/>
    </row>
    <row r="488">
      <c r="A488" s="3"/>
      <c r="B488" s="1"/>
      <c r="C488" s="1"/>
      <c r="D488" s="3"/>
      <c r="E488" s="5"/>
      <c r="F488" s="3"/>
      <c r="G488" s="3"/>
      <c r="H488" s="3"/>
      <c r="I488" s="3"/>
      <c r="J488" s="5"/>
      <c r="K488" s="3"/>
      <c r="L488" s="3"/>
      <c r="M488" s="3"/>
      <c r="N488" s="3"/>
      <c r="O488" s="3"/>
      <c r="P488" s="3"/>
      <c r="Q488" s="3"/>
      <c r="R488" s="3"/>
      <c r="S488" s="3"/>
      <c r="T488" s="3"/>
      <c r="U488" s="3"/>
      <c r="V488" s="3"/>
      <c r="W488" s="3"/>
      <c r="X488" s="3"/>
      <c r="Y488" s="3"/>
      <c r="Z488" s="3"/>
    </row>
    <row r="489">
      <c r="A489" s="3"/>
      <c r="B489" s="1"/>
      <c r="C489" s="1"/>
      <c r="D489" s="3"/>
      <c r="E489" s="5"/>
      <c r="F489" s="3"/>
      <c r="G489" s="3"/>
      <c r="H489" s="3"/>
      <c r="I489" s="3"/>
      <c r="J489" s="5"/>
      <c r="K489" s="3"/>
      <c r="L489" s="3"/>
      <c r="M489" s="3"/>
      <c r="N489" s="3"/>
      <c r="O489" s="3"/>
      <c r="P489" s="3"/>
      <c r="Q489" s="3"/>
      <c r="R489" s="3"/>
      <c r="S489" s="3"/>
      <c r="T489" s="3"/>
      <c r="U489" s="3"/>
      <c r="V489" s="3"/>
      <c r="W489" s="3"/>
      <c r="X489" s="3"/>
      <c r="Y489" s="3"/>
      <c r="Z489" s="3"/>
    </row>
    <row r="490">
      <c r="A490" s="3"/>
      <c r="B490" s="1"/>
      <c r="C490" s="1"/>
      <c r="D490" s="3"/>
      <c r="E490" s="5"/>
      <c r="F490" s="3"/>
      <c r="G490" s="3"/>
      <c r="H490" s="3"/>
      <c r="I490" s="3"/>
      <c r="J490" s="5"/>
      <c r="K490" s="3"/>
      <c r="L490" s="3"/>
      <c r="M490" s="3"/>
      <c r="N490" s="3"/>
      <c r="O490" s="3"/>
      <c r="P490" s="3"/>
      <c r="Q490" s="3"/>
      <c r="R490" s="3"/>
      <c r="S490" s="3"/>
      <c r="T490" s="3"/>
      <c r="U490" s="3"/>
      <c r="V490" s="3"/>
      <c r="W490" s="3"/>
      <c r="X490" s="3"/>
      <c r="Y490" s="3"/>
      <c r="Z490" s="3"/>
    </row>
    <row r="491">
      <c r="A491" s="3"/>
      <c r="B491" s="1"/>
      <c r="C491" s="1"/>
      <c r="D491" s="3"/>
      <c r="E491" s="5"/>
      <c r="F491" s="3"/>
      <c r="G491" s="3"/>
      <c r="H491" s="3"/>
      <c r="I491" s="3"/>
      <c r="J491" s="5"/>
      <c r="K491" s="3"/>
      <c r="L491" s="3"/>
      <c r="M491" s="3"/>
      <c r="N491" s="3"/>
      <c r="O491" s="3"/>
      <c r="P491" s="3"/>
      <c r="Q491" s="3"/>
      <c r="R491" s="3"/>
      <c r="S491" s="3"/>
      <c r="T491" s="3"/>
      <c r="U491" s="3"/>
      <c r="V491" s="3"/>
      <c r="W491" s="3"/>
      <c r="X491" s="3"/>
      <c r="Y491" s="3"/>
      <c r="Z491" s="3"/>
    </row>
    <row r="492">
      <c r="A492" s="3"/>
      <c r="B492" s="1"/>
      <c r="C492" s="1"/>
      <c r="D492" s="3"/>
      <c r="E492" s="5"/>
      <c r="F492" s="3"/>
      <c r="G492" s="3"/>
      <c r="H492" s="3"/>
      <c r="I492" s="3"/>
      <c r="J492" s="5"/>
      <c r="K492" s="3"/>
      <c r="L492" s="3"/>
      <c r="M492" s="3"/>
      <c r="N492" s="3"/>
      <c r="O492" s="3"/>
      <c r="P492" s="3"/>
      <c r="Q492" s="3"/>
      <c r="R492" s="3"/>
      <c r="S492" s="3"/>
      <c r="T492" s="3"/>
      <c r="U492" s="3"/>
      <c r="V492" s="3"/>
      <c r="W492" s="3"/>
      <c r="X492" s="3"/>
      <c r="Y492" s="3"/>
      <c r="Z492" s="3"/>
    </row>
    <row r="493">
      <c r="A493" s="3"/>
      <c r="B493" s="1"/>
      <c r="C493" s="1"/>
      <c r="D493" s="3"/>
      <c r="E493" s="5"/>
      <c r="F493" s="3"/>
      <c r="G493" s="3"/>
      <c r="H493" s="3"/>
      <c r="I493" s="3"/>
      <c r="J493" s="5"/>
      <c r="K493" s="3"/>
      <c r="L493" s="3"/>
      <c r="M493" s="3"/>
      <c r="N493" s="3"/>
      <c r="O493" s="3"/>
      <c r="P493" s="3"/>
      <c r="Q493" s="3"/>
      <c r="R493" s="3"/>
      <c r="S493" s="3"/>
      <c r="T493" s="3"/>
      <c r="U493" s="3"/>
      <c r="V493" s="3"/>
      <c r="W493" s="3"/>
      <c r="X493" s="3"/>
      <c r="Y493" s="3"/>
      <c r="Z493" s="3"/>
    </row>
    <row r="494">
      <c r="A494" s="3"/>
      <c r="B494" s="1"/>
      <c r="C494" s="1"/>
      <c r="D494" s="3"/>
      <c r="E494" s="5"/>
      <c r="F494" s="3"/>
      <c r="G494" s="3"/>
      <c r="H494" s="3"/>
      <c r="I494" s="3"/>
      <c r="J494" s="5"/>
      <c r="K494" s="3"/>
      <c r="L494" s="3"/>
      <c r="M494" s="3"/>
      <c r="N494" s="3"/>
      <c r="O494" s="3"/>
      <c r="P494" s="3"/>
      <c r="Q494" s="3"/>
      <c r="R494" s="3"/>
      <c r="S494" s="3"/>
      <c r="T494" s="3"/>
      <c r="U494" s="3"/>
      <c r="V494" s="3"/>
      <c r="W494" s="3"/>
      <c r="X494" s="3"/>
      <c r="Y494" s="3"/>
      <c r="Z494" s="3"/>
    </row>
    <row r="495">
      <c r="A495" s="3"/>
      <c r="B495" s="1"/>
      <c r="C495" s="1"/>
      <c r="D495" s="3"/>
      <c r="E495" s="5"/>
      <c r="F495" s="3"/>
      <c r="G495" s="3"/>
      <c r="H495" s="3"/>
      <c r="I495" s="3"/>
      <c r="J495" s="5"/>
      <c r="K495" s="3"/>
      <c r="L495" s="3"/>
      <c r="M495" s="3"/>
      <c r="N495" s="3"/>
      <c r="O495" s="3"/>
      <c r="P495" s="3"/>
      <c r="Q495" s="3"/>
      <c r="R495" s="3"/>
      <c r="S495" s="3"/>
      <c r="T495" s="3"/>
      <c r="U495" s="3"/>
      <c r="V495" s="3"/>
      <c r="W495" s="3"/>
      <c r="X495" s="3"/>
      <c r="Y495" s="3"/>
      <c r="Z495" s="3"/>
    </row>
    <row r="496">
      <c r="A496" s="3"/>
      <c r="B496" s="1"/>
      <c r="C496" s="1"/>
      <c r="D496" s="3"/>
      <c r="E496" s="5"/>
      <c r="F496" s="3"/>
      <c r="G496" s="3"/>
      <c r="H496" s="3"/>
      <c r="I496" s="3"/>
      <c r="J496" s="5"/>
      <c r="K496" s="3"/>
      <c r="L496" s="3"/>
      <c r="M496" s="3"/>
      <c r="N496" s="3"/>
      <c r="O496" s="3"/>
      <c r="P496" s="3"/>
      <c r="Q496" s="3"/>
      <c r="R496" s="3"/>
      <c r="S496" s="3"/>
      <c r="T496" s="3"/>
      <c r="U496" s="3"/>
      <c r="V496" s="3"/>
      <c r="W496" s="3"/>
      <c r="X496" s="3"/>
      <c r="Y496" s="3"/>
      <c r="Z496" s="3"/>
    </row>
    <row r="497">
      <c r="A497" s="3"/>
      <c r="B497" s="1"/>
      <c r="C497" s="1"/>
      <c r="D497" s="3"/>
      <c r="E497" s="5"/>
      <c r="F497" s="3"/>
      <c r="G497" s="3"/>
      <c r="H497" s="3"/>
      <c r="I497" s="3"/>
      <c r="J497" s="5"/>
      <c r="K497" s="3"/>
      <c r="L497" s="3"/>
      <c r="M497" s="3"/>
      <c r="N497" s="3"/>
      <c r="O497" s="3"/>
      <c r="P497" s="3"/>
      <c r="Q497" s="3"/>
      <c r="R497" s="3"/>
      <c r="S497" s="3"/>
      <c r="T497" s="3"/>
      <c r="U497" s="3"/>
      <c r="V497" s="3"/>
      <c r="W497" s="3"/>
      <c r="X497" s="3"/>
      <c r="Y497" s="3"/>
      <c r="Z497" s="3"/>
    </row>
    <row r="498">
      <c r="A498" s="3"/>
      <c r="B498" s="1"/>
      <c r="C498" s="1"/>
      <c r="D498" s="3"/>
      <c r="E498" s="5"/>
      <c r="F498" s="3"/>
      <c r="G498" s="3"/>
      <c r="H498" s="3"/>
      <c r="I498" s="3"/>
      <c r="J498" s="5"/>
      <c r="K498" s="3"/>
      <c r="L498" s="3"/>
      <c r="M498" s="3"/>
      <c r="N498" s="3"/>
      <c r="O498" s="3"/>
      <c r="P498" s="3"/>
      <c r="Q498" s="3"/>
      <c r="R498" s="3"/>
      <c r="S498" s="3"/>
      <c r="T498" s="3"/>
      <c r="U498" s="3"/>
      <c r="V498" s="3"/>
      <c r="W498" s="3"/>
      <c r="X498" s="3"/>
      <c r="Y498" s="3"/>
      <c r="Z498" s="3"/>
    </row>
    <row r="499">
      <c r="A499" s="3"/>
      <c r="B499" s="1"/>
      <c r="C499" s="1"/>
      <c r="D499" s="3"/>
      <c r="E499" s="5"/>
      <c r="F499" s="3"/>
      <c r="G499" s="3"/>
      <c r="H499" s="3"/>
      <c r="I499" s="3"/>
      <c r="J499" s="5"/>
      <c r="K499" s="3"/>
      <c r="L499" s="3"/>
      <c r="M499" s="3"/>
      <c r="N499" s="3"/>
      <c r="O499" s="3"/>
      <c r="P499" s="3"/>
      <c r="Q499" s="3"/>
      <c r="R499" s="3"/>
      <c r="S499" s="3"/>
      <c r="T499" s="3"/>
      <c r="U499" s="3"/>
      <c r="V499" s="3"/>
      <c r="W499" s="3"/>
      <c r="X499" s="3"/>
      <c r="Y499" s="3"/>
      <c r="Z499" s="3"/>
    </row>
    <row r="500">
      <c r="A500" s="3"/>
      <c r="B500" s="1"/>
      <c r="C500" s="1"/>
      <c r="D500" s="3"/>
      <c r="E500" s="5"/>
      <c r="F500" s="3"/>
      <c r="G500" s="3"/>
      <c r="H500" s="3"/>
      <c r="I500" s="3"/>
      <c r="J500" s="5"/>
      <c r="K500" s="3"/>
      <c r="L500" s="3"/>
      <c r="M500" s="3"/>
      <c r="N500" s="3"/>
      <c r="O500" s="3"/>
      <c r="P500" s="3"/>
      <c r="Q500" s="3"/>
      <c r="R500" s="3"/>
      <c r="S500" s="3"/>
      <c r="T500" s="3"/>
      <c r="U500" s="3"/>
      <c r="V500" s="3"/>
      <c r="W500" s="3"/>
      <c r="X500" s="3"/>
      <c r="Y500" s="3"/>
      <c r="Z500" s="3"/>
    </row>
    <row r="501">
      <c r="A501" s="3"/>
      <c r="B501" s="1"/>
      <c r="C501" s="1"/>
      <c r="D501" s="3"/>
      <c r="E501" s="5"/>
      <c r="F501" s="3"/>
      <c r="G501" s="3"/>
      <c r="H501" s="3"/>
      <c r="I501" s="3"/>
      <c r="J501" s="5"/>
      <c r="K501" s="3"/>
      <c r="L501" s="3"/>
      <c r="M501" s="3"/>
      <c r="N501" s="3"/>
      <c r="O501" s="3"/>
      <c r="P501" s="3"/>
      <c r="Q501" s="3"/>
      <c r="R501" s="3"/>
      <c r="S501" s="3"/>
      <c r="T501" s="3"/>
      <c r="U501" s="3"/>
      <c r="V501" s="3"/>
      <c r="W501" s="3"/>
      <c r="X501" s="3"/>
      <c r="Y501" s="3"/>
      <c r="Z501" s="3"/>
    </row>
    <row r="502">
      <c r="A502" s="3"/>
      <c r="B502" s="1"/>
      <c r="C502" s="1"/>
      <c r="D502" s="3"/>
      <c r="E502" s="5"/>
      <c r="F502" s="3"/>
      <c r="G502" s="3"/>
      <c r="H502" s="3"/>
      <c r="I502" s="3"/>
      <c r="J502" s="5"/>
      <c r="K502" s="3"/>
      <c r="L502" s="3"/>
      <c r="M502" s="3"/>
      <c r="N502" s="3"/>
      <c r="O502" s="3"/>
      <c r="P502" s="3"/>
      <c r="Q502" s="3"/>
      <c r="R502" s="3"/>
      <c r="S502" s="3"/>
      <c r="T502" s="3"/>
      <c r="U502" s="3"/>
      <c r="V502" s="3"/>
      <c r="W502" s="3"/>
      <c r="X502" s="3"/>
      <c r="Y502" s="3"/>
      <c r="Z502" s="3"/>
    </row>
    <row r="503">
      <c r="A503" s="3"/>
      <c r="B503" s="1"/>
      <c r="C503" s="1"/>
      <c r="D503" s="3"/>
      <c r="E503" s="5"/>
      <c r="F503" s="3"/>
      <c r="G503" s="3"/>
      <c r="H503" s="3"/>
      <c r="I503" s="3"/>
      <c r="J503" s="5"/>
      <c r="K503" s="3"/>
      <c r="L503" s="3"/>
      <c r="M503" s="3"/>
      <c r="N503" s="3"/>
      <c r="O503" s="3"/>
      <c r="P503" s="3"/>
      <c r="Q503" s="3"/>
      <c r="R503" s="3"/>
      <c r="S503" s="3"/>
      <c r="T503" s="3"/>
      <c r="U503" s="3"/>
      <c r="V503" s="3"/>
      <c r="W503" s="3"/>
      <c r="X503" s="3"/>
      <c r="Y503" s="3"/>
      <c r="Z503" s="3"/>
    </row>
    <row r="504">
      <c r="A504" s="3"/>
      <c r="B504" s="1"/>
      <c r="C504" s="1"/>
      <c r="D504" s="3"/>
      <c r="E504" s="5"/>
      <c r="F504" s="3"/>
      <c r="G504" s="3"/>
      <c r="H504" s="3"/>
      <c r="I504" s="3"/>
      <c r="J504" s="5"/>
      <c r="K504" s="3"/>
      <c r="L504" s="3"/>
      <c r="M504" s="3"/>
      <c r="N504" s="3"/>
      <c r="O504" s="3"/>
      <c r="P504" s="3"/>
      <c r="Q504" s="3"/>
      <c r="R504" s="3"/>
      <c r="S504" s="3"/>
      <c r="T504" s="3"/>
      <c r="U504" s="3"/>
      <c r="V504" s="3"/>
      <c r="W504" s="3"/>
      <c r="X504" s="3"/>
      <c r="Y504" s="3"/>
      <c r="Z504" s="3"/>
    </row>
    <row r="505">
      <c r="A505" s="3"/>
      <c r="B505" s="1"/>
      <c r="C505" s="1"/>
      <c r="D505" s="3"/>
      <c r="E505" s="5"/>
      <c r="F505" s="3"/>
      <c r="G505" s="3"/>
      <c r="H505" s="3"/>
      <c r="I505" s="3"/>
      <c r="J505" s="5"/>
      <c r="K505" s="3"/>
      <c r="L505" s="3"/>
      <c r="M505" s="3"/>
      <c r="N505" s="3"/>
      <c r="O505" s="3"/>
      <c r="P505" s="3"/>
      <c r="Q505" s="3"/>
      <c r="R505" s="3"/>
      <c r="S505" s="3"/>
      <c r="T505" s="3"/>
      <c r="U505" s="3"/>
      <c r="V505" s="3"/>
      <c r="W505" s="3"/>
      <c r="X505" s="3"/>
      <c r="Y505" s="3"/>
      <c r="Z505" s="3"/>
    </row>
    <row r="506">
      <c r="A506" s="3"/>
      <c r="B506" s="1"/>
      <c r="C506" s="1"/>
      <c r="D506" s="3"/>
      <c r="E506" s="5"/>
      <c r="F506" s="3"/>
      <c r="G506" s="3"/>
      <c r="H506" s="3"/>
      <c r="I506" s="3"/>
      <c r="J506" s="5"/>
      <c r="K506" s="3"/>
      <c r="L506" s="3"/>
      <c r="M506" s="3"/>
      <c r="N506" s="3"/>
      <c r="O506" s="3"/>
      <c r="P506" s="3"/>
      <c r="Q506" s="3"/>
      <c r="R506" s="3"/>
      <c r="S506" s="3"/>
      <c r="T506" s="3"/>
      <c r="U506" s="3"/>
      <c r="V506" s="3"/>
      <c r="W506" s="3"/>
      <c r="X506" s="3"/>
      <c r="Y506" s="3"/>
      <c r="Z506" s="3"/>
    </row>
    <row r="507">
      <c r="A507" s="3"/>
      <c r="B507" s="1"/>
      <c r="C507" s="1"/>
      <c r="D507" s="3"/>
      <c r="E507" s="5"/>
      <c r="F507" s="3"/>
      <c r="G507" s="3"/>
      <c r="H507" s="3"/>
      <c r="I507" s="3"/>
      <c r="J507" s="5"/>
      <c r="K507" s="3"/>
      <c r="L507" s="3"/>
      <c r="M507" s="3"/>
      <c r="N507" s="3"/>
      <c r="O507" s="3"/>
      <c r="P507" s="3"/>
      <c r="Q507" s="3"/>
      <c r="R507" s="3"/>
      <c r="S507" s="3"/>
      <c r="T507" s="3"/>
      <c r="U507" s="3"/>
      <c r="V507" s="3"/>
      <c r="W507" s="3"/>
      <c r="X507" s="3"/>
      <c r="Y507" s="3"/>
      <c r="Z507" s="3"/>
    </row>
    <row r="508">
      <c r="A508" s="3"/>
      <c r="B508" s="1"/>
      <c r="C508" s="1"/>
      <c r="D508" s="3"/>
      <c r="E508" s="5"/>
      <c r="F508" s="3"/>
      <c r="G508" s="3"/>
      <c r="H508" s="3"/>
      <c r="I508" s="3"/>
      <c r="J508" s="5"/>
      <c r="K508" s="3"/>
      <c r="L508" s="3"/>
      <c r="M508" s="3"/>
      <c r="N508" s="3"/>
      <c r="O508" s="3"/>
      <c r="P508" s="3"/>
      <c r="Q508" s="3"/>
      <c r="R508" s="3"/>
      <c r="S508" s="3"/>
      <c r="T508" s="3"/>
      <c r="U508" s="3"/>
      <c r="V508" s="3"/>
      <c r="W508" s="3"/>
      <c r="X508" s="3"/>
      <c r="Y508" s="3"/>
      <c r="Z508" s="3"/>
    </row>
    <row r="509">
      <c r="A509" s="3"/>
      <c r="B509" s="1"/>
      <c r="C509" s="1"/>
      <c r="D509" s="3"/>
      <c r="E509" s="5"/>
      <c r="F509" s="3"/>
      <c r="G509" s="3"/>
      <c r="H509" s="3"/>
      <c r="I509" s="3"/>
      <c r="J509" s="5"/>
      <c r="K509" s="3"/>
      <c r="L509" s="3"/>
      <c r="M509" s="3"/>
      <c r="N509" s="3"/>
      <c r="O509" s="3"/>
      <c r="P509" s="3"/>
      <c r="Q509" s="3"/>
      <c r="R509" s="3"/>
      <c r="S509" s="3"/>
      <c r="T509" s="3"/>
      <c r="U509" s="3"/>
      <c r="V509" s="3"/>
      <c r="W509" s="3"/>
      <c r="X509" s="3"/>
      <c r="Y509" s="3"/>
      <c r="Z509" s="3"/>
    </row>
    <row r="510">
      <c r="A510" s="3"/>
      <c r="B510" s="1"/>
      <c r="C510" s="1"/>
      <c r="D510" s="3"/>
      <c r="E510" s="5"/>
      <c r="F510" s="3"/>
      <c r="G510" s="3"/>
      <c r="H510" s="3"/>
      <c r="I510" s="3"/>
      <c r="J510" s="5"/>
      <c r="K510" s="3"/>
      <c r="L510" s="3"/>
      <c r="M510" s="3"/>
      <c r="N510" s="3"/>
      <c r="O510" s="3"/>
      <c r="P510" s="3"/>
      <c r="Q510" s="3"/>
      <c r="R510" s="3"/>
      <c r="S510" s="3"/>
      <c r="T510" s="3"/>
      <c r="U510" s="3"/>
      <c r="V510" s="3"/>
      <c r="W510" s="3"/>
      <c r="X510" s="3"/>
      <c r="Y510" s="3"/>
      <c r="Z510" s="3"/>
    </row>
    <row r="511">
      <c r="A511" s="3"/>
      <c r="B511" s="1"/>
      <c r="C511" s="1"/>
      <c r="D511" s="3"/>
      <c r="E511" s="5"/>
      <c r="F511" s="3"/>
      <c r="G511" s="3"/>
      <c r="H511" s="3"/>
      <c r="I511" s="3"/>
      <c r="J511" s="5"/>
      <c r="K511" s="3"/>
      <c r="L511" s="3"/>
      <c r="M511" s="3"/>
      <c r="N511" s="3"/>
      <c r="O511" s="3"/>
      <c r="P511" s="3"/>
      <c r="Q511" s="3"/>
      <c r="R511" s="3"/>
      <c r="S511" s="3"/>
      <c r="T511" s="3"/>
      <c r="U511" s="3"/>
      <c r="V511" s="3"/>
      <c r="W511" s="3"/>
      <c r="X511" s="3"/>
      <c r="Y511" s="3"/>
      <c r="Z511" s="3"/>
    </row>
    <row r="512">
      <c r="A512" s="3"/>
      <c r="B512" s="1"/>
      <c r="C512" s="1"/>
      <c r="D512" s="3"/>
      <c r="E512" s="5"/>
      <c r="F512" s="3"/>
      <c r="G512" s="3"/>
      <c r="H512" s="3"/>
      <c r="I512" s="3"/>
      <c r="J512" s="5"/>
      <c r="K512" s="3"/>
      <c r="L512" s="3"/>
      <c r="M512" s="3"/>
      <c r="N512" s="3"/>
      <c r="O512" s="3"/>
      <c r="P512" s="3"/>
      <c r="Q512" s="3"/>
      <c r="R512" s="3"/>
      <c r="S512" s="3"/>
      <c r="T512" s="3"/>
      <c r="U512" s="3"/>
      <c r="V512" s="3"/>
      <c r="W512" s="3"/>
      <c r="X512" s="3"/>
      <c r="Y512" s="3"/>
      <c r="Z512" s="3"/>
    </row>
    <row r="513">
      <c r="A513" s="3"/>
      <c r="B513" s="1"/>
      <c r="C513" s="1"/>
      <c r="D513" s="3"/>
      <c r="E513" s="5"/>
      <c r="F513" s="3"/>
      <c r="G513" s="3"/>
      <c r="H513" s="3"/>
      <c r="I513" s="3"/>
      <c r="J513" s="5"/>
      <c r="K513" s="3"/>
      <c r="L513" s="3"/>
      <c r="M513" s="3"/>
      <c r="N513" s="3"/>
      <c r="O513" s="3"/>
      <c r="P513" s="3"/>
      <c r="Q513" s="3"/>
      <c r="R513" s="3"/>
      <c r="S513" s="3"/>
      <c r="T513" s="3"/>
      <c r="U513" s="3"/>
      <c r="V513" s="3"/>
      <c r="W513" s="3"/>
      <c r="X513" s="3"/>
      <c r="Y513" s="3"/>
      <c r="Z513" s="3"/>
    </row>
    <row r="514">
      <c r="A514" s="3"/>
      <c r="B514" s="1"/>
      <c r="C514" s="1"/>
      <c r="D514" s="3"/>
      <c r="E514" s="5"/>
      <c r="F514" s="3"/>
      <c r="G514" s="3"/>
      <c r="H514" s="3"/>
      <c r="I514" s="3"/>
      <c r="J514" s="5"/>
      <c r="K514" s="3"/>
      <c r="L514" s="3"/>
      <c r="M514" s="3"/>
      <c r="N514" s="3"/>
      <c r="O514" s="3"/>
      <c r="P514" s="3"/>
      <c r="Q514" s="3"/>
      <c r="R514" s="3"/>
      <c r="S514" s="3"/>
      <c r="T514" s="3"/>
      <c r="U514" s="3"/>
      <c r="V514" s="3"/>
      <c r="W514" s="3"/>
      <c r="X514" s="3"/>
      <c r="Y514" s="3"/>
      <c r="Z514" s="3"/>
    </row>
    <row r="515">
      <c r="A515" s="3"/>
      <c r="B515" s="1"/>
      <c r="C515" s="1"/>
      <c r="D515" s="3"/>
      <c r="E515" s="5"/>
      <c r="F515" s="3"/>
      <c r="G515" s="3"/>
      <c r="H515" s="3"/>
      <c r="I515" s="3"/>
      <c r="J515" s="5"/>
      <c r="K515" s="3"/>
      <c r="L515" s="3"/>
      <c r="M515" s="3"/>
      <c r="N515" s="3"/>
      <c r="O515" s="3"/>
      <c r="P515" s="3"/>
      <c r="Q515" s="3"/>
      <c r="R515" s="3"/>
      <c r="S515" s="3"/>
      <c r="T515" s="3"/>
      <c r="U515" s="3"/>
      <c r="V515" s="3"/>
      <c r="W515" s="3"/>
      <c r="X515" s="3"/>
      <c r="Y515" s="3"/>
      <c r="Z515" s="3"/>
    </row>
    <row r="516">
      <c r="A516" s="3"/>
      <c r="B516" s="1"/>
      <c r="C516" s="1"/>
      <c r="D516" s="3"/>
      <c r="E516" s="5"/>
      <c r="F516" s="3"/>
      <c r="G516" s="3"/>
      <c r="H516" s="3"/>
      <c r="I516" s="3"/>
      <c r="J516" s="5"/>
      <c r="K516" s="3"/>
      <c r="L516" s="3"/>
      <c r="M516" s="3"/>
      <c r="N516" s="3"/>
      <c r="O516" s="3"/>
      <c r="P516" s="3"/>
      <c r="Q516" s="3"/>
      <c r="R516" s="3"/>
      <c r="S516" s="3"/>
      <c r="T516" s="3"/>
      <c r="U516" s="3"/>
      <c r="V516" s="3"/>
      <c r="W516" s="3"/>
      <c r="X516" s="3"/>
      <c r="Y516" s="3"/>
      <c r="Z516" s="3"/>
    </row>
    <row r="517">
      <c r="A517" s="3"/>
      <c r="B517" s="1"/>
      <c r="C517" s="1"/>
      <c r="D517" s="3"/>
      <c r="E517" s="5"/>
      <c r="F517" s="3"/>
      <c r="G517" s="3"/>
      <c r="H517" s="3"/>
      <c r="I517" s="3"/>
      <c r="J517" s="5"/>
      <c r="K517" s="3"/>
      <c r="L517" s="3"/>
      <c r="M517" s="3"/>
      <c r="N517" s="3"/>
      <c r="O517" s="3"/>
      <c r="P517" s="3"/>
      <c r="Q517" s="3"/>
      <c r="R517" s="3"/>
      <c r="S517" s="3"/>
      <c r="T517" s="3"/>
      <c r="U517" s="3"/>
      <c r="V517" s="3"/>
      <c r="W517" s="3"/>
      <c r="X517" s="3"/>
      <c r="Y517" s="3"/>
      <c r="Z517" s="3"/>
    </row>
    <row r="518">
      <c r="A518" s="3"/>
      <c r="B518" s="1"/>
      <c r="C518" s="1"/>
      <c r="D518" s="3"/>
      <c r="E518" s="5"/>
      <c r="F518" s="3"/>
      <c r="G518" s="3"/>
      <c r="H518" s="3"/>
      <c r="I518" s="3"/>
      <c r="J518" s="5"/>
      <c r="K518" s="3"/>
      <c r="L518" s="3"/>
      <c r="M518" s="3"/>
      <c r="N518" s="3"/>
      <c r="O518" s="3"/>
      <c r="P518" s="3"/>
      <c r="Q518" s="3"/>
      <c r="R518" s="3"/>
      <c r="S518" s="3"/>
      <c r="T518" s="3"/>
      <c r="U518" s="3"/>
      <c r="V518" s="3"/>
      <c r="W518" s="3"/>
      <c r="X518" s="3"/>
      <c r="Y518" s="3"/>
      <c r="Z518" s="3"/>
    </row>
    <row r="519">
      <c r="A519" s="3"/>
      <c r="B519" s="1"/>
      <c r="C519" s="1"/>
      <c r="D519" s="3"/>
      <c r="E519" s="5"/>
      <c r="F519" s="3"/>
      <c r="G519" s="3"/>
      <c r="H519" s="3"/>
      <c r="I519" s="3"/>
      <c r="J519" s="5"/>
      <c r="K519" s="3"/>
      <c r="L519" s="3"/>
      <c r="M519" s="3"/>
      <c r="N519" s="3"/>
      <c r="O519" s="3"/>
      <c r="P519" s="3"/>
      <c r="Q519" s="3"/>
      <c r="R519" s="3"/>
      <c r="S519" s="3"/>
      <c r="T519" s="3"/>
      <c r="U519" s="3"/>
      <c r="V519" s="3"/>
      <c r="W519" s="3"/>
      <c r="X519" s="3"/>
      <c r="Y519" s="3"/>
      <c r="Z519" s="3"/>
    </row>
    <row r="520">
      <c r="A520" s="3"/>
      <c r="B520" s="1"/>
      <c r="C520" s="1"/>
      <c r="D520" s="3"/>
      <c r="E520" s="5"/>
      <c r="F520" s="3"/>
      <c r="G520" s="3"/>
      <c r="H520" s="3"/>
      <c r="I520" s="3"/>
      <c r="J520" s="5"/>
      <c r="K520" s="3"/>
      <c r="L520" s="3"/>
      <c r="M520" s="3"/>
      <c r="N520" s="3"/>
      <c r="O520" s="3"/>
      <c r="P520" s="3"/>
      <c r="Q520" s="3"/>
      <c r="R520" s="3"/>
      <c r="S520" s="3"/>
      <c r="T520" s="3"/>
      <c r="U520" s="3"/>
      <c r="V520" s="3"/>
      <c r="W520" s="3"/>
      <c r="X520" s="3"/>
      <c r="Y520" s="3"/>
      <c r="Z520" s="3"/>
    </row>
    <row r="521">
      <c r="A521" s="3"/>
      <c r="B521" s="1"/>
      <c r="C521" s="1"/>
      <c r="D521" s="3"/>
      <c r="E521" s="5"/>
      <c r="F521" s="3"/>
      <c r="G521" s="3"/>
      <c r="H521" s="3"/>
      <c r="I521" s="3"/>
      <c r="J521" s="5"/>
      <c r="K521" s="3"/>
      <c r="L521" s="3"/>
      <c r="M521" s="3"/>
      <c r="N521" s="3"/>
      <c r="O521" s="3"/>
      <c r="P521" s="3"/>
      <c r="Q521" s="3"/>
      <c r="R521" s="3"/>
      <c r="S521" s="3"/>
      <c r="T521" s="3"/>
      <c r="U521" s="3"/>
      <c r="V521" s="3"/>
      <c r="W521" s="3"/>
      <c r="X521" s="3"/>
      <c r="Y521" s="3"/>
      <c r="Z521" s="3"/>
    </row>
    <row r="522">
      <c r="A522" s="3"/>
      <c r="B522" s="1"/>
      <c r="C522" s="1"/>
      <c r="D522" s="3"/>
      <c r="E522" s="5"/>
      <c r="F522" s="3"/>
      <c r="G522" s="3"/>
      <c r="H522" s="3"/>
      <c r="I522" s="3"/>
      <c r="J522" s="5"/>
      <c r="K522" s="3"/>
      <c r="L522" s="3"/>
      <c r="M522" s="3"/>
      <c r="N522" s="3"/>
      <c r="O522" s="3"/>
      <c r="P522" s="3"/>
      <c r="Q522" s="3"/>
      <c r="R522" s="3"/>
      <c r="S522" s="3"/>
      <c r="T522" s="3"/>
      <c r="U522" s="3"/>
      <c r="V522" s="3"/>
      <c r="W522" s="3"/>
      <c r="X522" s="3"/>
      <c r="Y522" s="3"/>
      <c r="Z522" s="3"/>
    </row>
    <row r="523">
      <c r="A523" s="3"/>
      <c r="B523" s="1"/>
      <c r="C523" s="1"/>
      <c r="D523" s="3"/>
      <c r="E523" s="5"/>
      <c r="F523" s="3"/>
      <c r="G523" s="3"/>
      <c r="H523" s="3"/>
      <c r="I523" s="3"/>
      <c r="J523" s="5"/>
      <c r="K523" s="3"/>
      <c r="L523" s="3"/>
      <c r="M523" s="3"/>
      <c r="N523" s="3"/>
      <c r="O523" s="3"/>
      <c r="P523" s="3"/>
      <c r="Q523" s="3"/>
      <c r="R523" s="3"/>
      <c r="S523" s="3"/>
      <c r="T523" s="3"/>
      <c r="U523" s="3"/>
      <c r="V523" s="3"/>
      <c r="W523" s="3"/>
      <c r="X523" s="3"/>
      <c r="Y523" s="3"/>
      <c r="Z523" s="3"/>
    </row>
    <row r="524">
      <c r="A524" s="3"/>
      <c r="B524" s="1"/>
      <c r="C524" s="1"/>
      <c r="D524" s="3"/>
      <c r="E524" s="5"/>
      <c r="F524" s="3"/>
      <c r="G524" s="3"/>
      <c r="H524" s="3"/>
      <c r="I524" s="3"/>
      <c r="J524" s="5"/>
      <c r="K524" s="3"/>
      <c r="L524" s="3"/>
      <c r="M524" s="3"/>
      <c r="N524" s="3"/>
      <c r="O524" s="3"/>
      <c r="P524" s="3"/>
      <c r="Q524" s="3"/>
      <c r="R524" s="3"/>
      <c r="S524" s="3"/>
      <c r="T524" s="3"/>
      <c r="U524" s="3"/>
      <c r="V524" s="3"/>
      <c r="W524" s="3"/>
      <c r="X524" s="3"/>
      <c r="Y524" s="3"/>
      <c r="Z524" s="3"/>
    </row>
    <row r="525">
      <c r="A525" s="3"/>
      <c r="B525" s="1"/>
      <c r="C525" s="1"/>
      <c r="D525" s="3"/>
      <c r="E525" s="5"/>
      <c r="F525" s="3"/>
      <c r="G525" s="3"/>
      <c r="H525" s="3"/>
      <c r="I525" s="3"/>
      <c r="J525" s="5"/>
      <c r="K525" s="3"/>
      <c r="L525" s="3"/>
      <c r="M525" s="3"/>
      <c r="N525" s="3"/>
      <c r="O525" s="3"/>
      <c r="P525" s="3"/>
      <c r="Q525" s="3"/>
      <c r="R525" s="3"/>
      <c r="S525" s="3"/>
      <c r="T525" s="3"/>
      <c r="U525" s="3"/>
      <c r="V525" s="3"/>
      <c r="W525" s="3"/>
      <c r="X525" s="3"/>
      <c r="Y525" s="3"/>
      <c r="Z525" s="3"/>
    </row>
    <row r="526">
      <c r="A526" s="3"/>
      <c r="B526" s="1"/>
      <c r="C526" s="1"/>
      <c r="D526" s="3"/>
      <c r="E526" s="5"/>
      <c r="F526" s="3"/>
      <c r="G526" s="3"/>
      <c r="H526" s="3"/>
      <c r="I526" s="3"/>
      <c r="J526" s="5"/>
      <c r="K526" s="3"/>
      <c r="L526" s="3"/>
      <c r="M526" s="3"/>
      <c r="N526" s="3"/>
      <c r="O526" s="3"/>
      <c r="P526" s="3"/>
      <c r="Q526" s="3"/>
      <c r="R526" s="3"/>
      <c r="S526" s="3"/>
      <c r="T526" s="3"/>
      <c r="U526" s="3"/>
      <c r="V526" s="3"/>
      <c r="W526" s="3"/>
      <c r="X526" s="3"/>
      <c r="Y526" s="3"/>
      <c r="Z526" s="3"/>
    </row>
    <row r="527">
      <c r="A527" s="3"/>
      <c r="B527" s="1"/>
      <c r="C527" s="1"/>
      <c r="D527" s="3"/>
      <c r="E527" s="5"/>
      <c r="F527" s="3"/>
      <c r="G527" s="3"/>
      <c r="H527" s="3"/>
      <c r="I527" s="3"/>
      <c r="J527" s="5"/>
      <c r="K527" s="3"/>
      <c r="L527" s="3"/>
      <c r="M527" s="3"/>
      <c r="N527" s="3"/>
      <c r="O527" s="3"/>
      <c r="P527" s="3"/>
      <c r="Q527" s="3"/>
      <c r="R527" s="3"/>
      <c r="S527" s="3"/>
      <c r="T527" s="3"/>
      <c r="U527" s="3"/>
      <c r="V527" s="3"/>
      <c r="W527" s="3"/>
      <c r="X527" s="3"/>
      <c r="Y527" s="3"/>
      <c r="Z527" s="3"/>
    </row>
    <row r="528">
      <c r="A528" s="3"/>
      <c r="B528" s="1"/>
      <c r="C528" s="1"/>
      <c r="D528" s="3"/>
      <c r="E528" s="5"/>
      <c r="F528" s="3"/>
      <c r="G528" s="3"/>
      <c r="H528" s="3"/>
      <c r="I528" s="3"/>
      <c r="J528" s="5"/>
      <c r="K528" s="3"/>
      <c r="L528" s="3"/>
      <c r="M528" s="3"/>
      <c r="N528" s="3"/>
      <c r="O528" s="3"/>
      <c r="P528" s="3"/>
      <c r="Q528" s="3"/>
      <c r="R528" s="3"/>
      <c r="S528" s="3"/>
      <c r="T528" s="3"/>
      <c r="U528" s="3"/>
      <c r="V528" s="3"/>
      <c r="W528" s="3"/>
      <c r="X528" s="3"/>
      <c r="Y528" s="3"/>
      <c r="Z528" s="3"/>
    </row>
    <row r="529">
      <c r="A529" s="3"/>
      <c r="B529" s="1"/>
      <c r="C529" s="1"/>
      <c r="D529" s="3"/>
      <c r="E529" s="5"/>
      <c r="F529" s="3"/>
      <c r="G529" s="3"/>
      <c r="H529" s="3"/>
      <c r="I529" s="3"/>
      <c r="J529" s="5"/>
      <c r="K529" s="3"/>
      <c r="L529" s="3"/>
      <c r="M529" s="3"/>
      <c r="N529" s="3"/>
      <c r="O529" s="3"/>
      <c r="P529" s="3"/>
      <c r="Q529" s="3"/>
      <c r="R529" s="3"/>
      <c r="S529" s="3"/>
      <c r="T529" s="3"/>
      <c r="U529" s="3"/>
      <c r="V529" s="3"/>
      <c r="W529" s="3"/>
      <c r="X529" s="3"/>
      <c r="Y529" s="3"/>
      <c r="Z529" s="3"/>
    </row>
    <row r="530">
      <c r="A530" s="3"/>
      <c r="B530" s="1"/>
      <c r="C530" s="1"/>
      <c r="D530" s="3"/>
      <c r="E530" s="5"/>
      <c r="F530" s="3"/>
      <c r="G530" s="3"/>
      <c r="H530" s="3"/>
      <c r="I530" s="3"/>
      <c r="J530" s="5"/>
      <c r="K530" s="3"/>
      <c r="L530" s="3"/>
      <c r="M530" s="3"/>
      <c r="N530" s="3"/>
      <c r="O530" s="3"/>
      <c r="P530" s="3"/>
      <c r="Q530" s="3"/>
      <c r="R530" s="3"/>
      <c r="S530" s="3"/>
      <c r="T530" s="3"/>
      <c r="U530" s="3"/>
      <c r="V530" s="3"/>
      <c r="W530" s="3"/>
      <c r="X530" s="3"/>
      <c r="Y530" s="3"/>
      <c r="Z530" s="3"/>
    </row>
    <row r="531">
      <c r="A531" s="3"/>
      <c r="B531" s="1"/>
      <c r="C531" s="1"/>
      <c r="D531" s="3"/>
      <c r="E531" s="5"/>
      <c r="F531" s="3"/>
      <c r="G531" s="3"/>
      <c r="H531" s="3"/>
      <c r="I531" s="3"/>
      <c r="J531" s="5"/>
      <c r="K531" s="3"/>
      <c r="L531" s="3"/>
      <c r="M531" s="3"/>
      <c r="N531" s="3"/>
      <c r="O531" s="3"/>
      <c r="P531" s="3"/>
      <c r="Q531" s="3"/>
      <c r="R531" s="3"/>
      <c r="S531" s="3"/>
      <c r="T531" s="3"/>
      <c r="U531" s="3"/>
      <c r="V531" s="3"/>
      <c r="W531" s="3"/>
      <c r="X531" s="3"/>
      <c r="Y531" s="3"/>
      <c r="Z531" s="3"/>
    </row>
    <row r="532">
      <c r="A532" s="3"/>
      <c r="B532" s="1"/>
      <c r="C532" s="1"/>
      <c r="D532" s="3"/>
      <c r="E532" s="5"/>
      <c r="F532" s="3"/>
      <c r="G532" s="3"/>
      <c r="H532" s="3"/>
      <c r="I532" s="3"/>
      <c r="J532" s="5"/>
      <c r="K532" s="3"/>
      <c r="L532" s="3"/>
      <c r="M532" s="3"/>
      <c r="N532" s="3"/>
      <c r="O532" s="3"/>
      <c r="P532" s="3"/>
      <c r="Q532" s="3"/>
      <c r="R532" s="3"/>
      <c r="S532" s="3"/>
      <c r="T532" s="3"/>
      <c r="U532" s="3"/>
      <c r="V532" s="3"/>
      <c r="W532" s="3"/>
      <c r="X532" s="3"/>
      <c r="Y532" s="3"/>
      <c r="Z532" s="3"/>
    </row>
    <row r="533">
      <c r="A533" s="3"/>
      <c r="B533" s="1"/>
      <c r="C533" s="1"/>
      <c r="D533" s="3"/>
      <c r="E533" s="5"/>
      <c r="F533" s="3"/>
      <c r="G533" s="3"/>
      <c r="H533" s="3"/>
      <c r="I533" s="3"/>
      <c r="J533" s="5"/>
      <c r="K533" s="3"/>
      <c r="L533" s="3"/>
      <c r="M533" s="3"/>
      <c r="N533" s="3"/>
      <c r="O533" s="3"/>
      <c r="P533" s="3"/>
      <c r="Q533" s="3"/>
      <c r="R533" s="3"/>
      <c r="S533" s="3"/>
      <c r="T533" s="3"/>
      <c r="U533" s="3"/>
      <c r="V533" s="3"/>
      <c r="W533" s="3"/>
      <c r="X533" s="3"/>
      <c r="Y533" s="3"/>
      <c r="Z533" s="3"/>
    </row>
    <row r="534">
      <c r="A534" s="3"/>
      <c r="B534" s="1"/>
      <c r="C534" s="1"/>
      <c r="D534" s="3"/>
      <c r="E534" s="5"/>
      <c r="F534" s="3"/>
      <c r="G534" s="3"/>
      <c r="H534" s="3"/>
      <c r="I534" s="3"/>
      <c r="J534" s="5"/>
      <c r="K534" s="3"/>
      <c r="L534" s="3"/>
      <c r="M534" s="3"/>
      <c r="N534" s="3"/>
      <c r="O534" s="3"/>
      <c r="P534" s="3"/>
      <c r="Q534" s="3"/>
      <c r="R534" s="3"/>
      <c r="S534" s="3"/>
      <c r="T534" s="3"/>
      <c r="U534" s="3"/>
      <c r="V534" s="3"/>
      <c r="W534" s="3"/>
      <c r="X534" s="3"/>
      <c r="Y534" s="3"/>
      <c r="Z534" s="3"/>
    </row>
    <row r="535">
      <c r="A535" s="3"/>
      <c r="B535" s="1"/>
      <c r="C535" s="1"/>
      <c r="D535" s="3"/>
      <c r="E535" s="5"/>
      <c r="F535" s="3"/>
      <c r="G535" s="3"/>
      <c r="H535" s="3"/>
      <c r="I535" s="3"/>
      <c r="J535" s="5"/>
      <c r="K535" s="3"/>
      <c r="L535" s="3"/>
      <c r="M535" s="3"/>
      <c r="N535" s="3"/>
      <c r="O535" s="3"/>
      <c r="P535" s="3"/>
      <c r="Q535" s="3"/>
      <c r="R535" s="3"/>
      <c r="S535" s="3"/>
      <c r="T535" s="3"/>
      <c r="U535" s="3"/>
      <c r="V535" s="3"/>
      <c r="W535" s="3"/>
      <c r="X535" s="3"/>
      <c r="Y535" s="3"/>
      <c r="Z535" s="3"/>
    </row>
    <row r="536">
      <c r="A536" s="3"/>
      <c r="B536" s="1"/>
      <c r="C536" s="1"/>
      <c r="D536" s="3"/>
      <c r="E536" s="5"/>
      <c r="F536" s="3"/>
      <c r="G536" s="3"/>
      <c r="H536" s="3"/>
      <c r="I536" s="3"/>
      <c r="J536" s="5"/>
      <c r="K536" s="3"/>
      <c r="L536" s="3"/>
      <c r="M536" s="3"/>
      <c r="N536" s="3"/>
      <c r="O536" s="3"/>
      <c r="P536" s="3"/>
      <c r="Q536" s="3"/>
      <c r="R536" s="3"/>
      <c r="S536" s="3"/>
      <c r="T536" s="3"/>
      <c r="U536" s="3"/>
      <c r="V536" s="3"/>
      <c r="W536" s="3"/>
      <c r="X536" s="3"/>
      <c r="Y536" s="3"/>
      <c r="Z536" s="3"/>
    </row>
    <row r="537">
      <c r="A537" s="3"/>
      <c r="B537" s="1"/>
      <c r="C537" s="1"/>
      <c r="D537" s="3"/>
      <c r="E537" s="5"/>
      <c r="F537" s="3"/>
      <c r="G537" s="3"/>
      <c r="H537" s="3"/>
      <c r="I537" s="3"/>
      <c r="J537" s="5"/>
      <c r="K537" s="3"/>
      <c r="L537" s="3"/>
      <c r="M537" s="3"/>
      <c r="N537" s="3"/>
      <c r="O537" s="3"/>
      <c r="P537" s="3"/>
      <c r="Q537" s="3"/>
      <c r="R537" s="3"/>
      <c r="S537" s="3"/>
      <c r="T537" s="3"/>
      <c r="U537" s="3"/>
      <c r="V537" s="3"/>
      <c r="W537" s="3"/>
      <c r="X537" s="3"/>
      <c r="Y537" s="3"/>
      <c r="Z537" s="3"/>
    </row>
    <row r="538">
      <c r="A538" s="3"/>
      <c r="B538" s="1"/>
      <c r="C538" s="1"/>
      <c r="D538" s="3"/>
      <c r="E538" s="5"/>
      <c r="F538" s="3"/>
      <c r="G538" s="3"/>
      <c r="H538" s="3"/>
      <c r="I538" s="3"/>
      <c r="J538" s="5"/>
      <c r="K538" s="3"/>
      <c r="L538" s="3"/>
      <c r="M538" s="3"/>
      <c r="N538" s="3"/>
      <c r="O538" s="3"/>
      <c r="P538" s="3"/>
      <c r="Q538" s="3"/>
      <c r="R538" s="3"/>
      <c r="S538" s="3"/>
      <c r="T538" s="3"/>
      <c r="U538" s="3"/>
      <c r="V538" s="3"/>
      <c r="W538" s="3"/>
      <c r="X538" s="3"/>
      <c r="Y538" s="3"/>
      <c r="Z538" s="3"/>
    </row>
    <row r="539">
      <c r="A539" s="3"/>
      <c r="B539" s="1"/>
      <c r="C539" s="1"/>
      <c r="D539" s="3"/>
      <c r="E539" s="5"/>
      <c r="F539" s="3"/>
      <c r="G539" s="3"/>
      <c r="H539" s="3"/>
      <c r="I539" s="3"/>
      <c r="J539" s="5"/>
      <c r="K539" s="3"/>
      <c r="L539" s="3"/>
      <c r="M539" s="3"/>
      <c r="N539" s="3"/>
      <c r="O539" s="3"/>
      <c r="P539" s="3"/>
      <c r="Q539" s="3"/>
      <c r="R539" s="3"/>
      <c r="S539" s="3"/>
      <c r="T539" s="3"/>
      <c r="U539" s="3"/>
      <c r="V539" s="3"/>
      <c r="W539" s="3"/>
      <c r="X539" s="3"/>
      <c r="Y539" s="3"/>
      <c r="Z539" s="3"/>
    </row>
    <row r="540">
      <c r="A540" s="3"/>
      <c r="B540" s="1"/>
      <c r="C540" s="1"/>
      <c r="D540" s="3"/>
      <c r="E540" s="5"/>
      <c r="F540" s="3"/>
      <c r="G540" s="3"/>
      <c r="H540" s="3"/>
      <c r="I540" s="3"/>
      <c r="J540" s="5"/>
      <c r="K540" s="3"/>
      <c r="L540" s="3"/>
      <c r="M540" s="3"/>
      <c r="N540" s="3"/>
      <c r="O540" s="3"/>
      <c r="P540" s="3"/>
      <c r="Q540" s="3"/>
      <c r="R540" s="3"/>
      <c r="S540" s="3"/>
      <c r="T540" s="3"/>
      <c r="U540" s="3"/>
      <c r="V540" s="3"/>
      <c r="W540" s="3"/>
      <c r="X540" s="3"/>
      <c r="Y540" s="3"/>
      <c r="Z540" s="3"/>
    </row>
    <row r="541">
      <c r="A541" s="3"/>
      <c r="B541" s="1"/>
      <c r="C541" s="1"/>
      <c r="D541" s="3"/>
      <c r="E541" s="5"/>
      <c r="F541" s="3"/>
      <c r="G541" s="3"/>
      <c r="H541" s="3"/>
      <c r="I541" s="3"/>
      <c r="J541" s="5"/>
      <c r="K541" s="3"/>
      <c r="L541" s="3"/>
      <c r="M541" s="3"/>
      <c r="N541" s="3"/>
      <c r="O541" s="3"/>
      <c r="P541" s="3"/>
      <c r="Q541" s="3"/>
      <c r="R541" s="3"/>
      <c r="S541" s="3"/>
      <c r="T541" s="3"/>
      <c r="U541" s="3"/>
      <c r="V541" s="3"/>
      <c r="W541" s="3"/>
      <c r="X541" s="3"/>
      <c r="Y541" s="3"/>
      <c r="Z541" s="3"/>
    </row>
    <row r="542">
      <c r="A542" s="3"/>
      <c r="B542" s="1"/>
      <c r="C542" s="1"/>
      <c r="D542" s="3"/>
      <c r="E542" s="5"/>
      <c r="F542" s="3"/>
      <c r="G542" s="3"/>
      <c r="H542" s="3"/>
      <c r="I542" s="3"/>
      <c r="J542" s="5"/>
      <c r="K542" s="3"/>
      <c r="L542" s="3"/>
      <c r="M542" s="3"/>
      <c r="N542" s="3"/>
      <c r="O542" s="3"/>
      <c r="P542" s="3"/>
      <c r="Q542" s="3"/>
      <c r="R542" s="3"/>
      <c r="S542" s="3"/>
      <c r="T542" s="3"/>
      <c r="U542" s="3"/>
      <c r="V542" s="3"/>
      <c r="W542" s="3"/>
      <c r="X542" s="3"/>
      <c r="Y542" s="3"/>
      <c r="Z542" s="3"/>
    </row>
    <row r="543">
      <c r="A543" s="3"/>
      <c r="B543" s="1"/>
      <c r="C543" s="1"/>
      <c r="D543" s="3"/>
      <c r="E543" s="5"/>
      <c r="F543" s="3"/>
      <c r="G543" s="3"/>
      <c r="H543" s="3"/>
      <c r="I543" s="3"/>
      <c r="J543" s="5"/>
      <c r="K543" s="3"/>
      <c r="L543" s="3"/>
      <c r="M543" s="3"/>
      <c r="N543" s="3"/>
      <c r="O543" s="3"/>
      <c r="P543" s="3"/>
      <c r="Q543" s="3"/>
      <c r="R543" s="3"/>
      <c r="S543" s="3"/>
      <c r="T543" s="3"/>
      <c r="U543" s="3"/>
      <c r="V543" s="3"/>
      <c r="W543" s="3"/>
      <c r="X543" s="3"/>
      <c r="Y543" s="3"/>
      <c r="Z543" s="3"/>
    </row>
    <row r="544">
      <c r="A544" s="3"/>
      <c r="B544" s="1"/>
      <c r="C544" s="1"/>
      <c r="D544" s="3"/>
      <c r="E544" s="5"/>
      <c r="F544" s="3"/>
      <c r="G544" s="3"/>
      <c r="H544" s="3"/>
      <c r="I544" s="3"/>
      <c r="J544" s="5"/>
      <c r="K544" s="3"/>
      <c r="L544" s="3"/>
      <c r="M544" s="3"/>
      <c r="N544" s="3"/>
      <c r="O544" s="3"/>
      <c r="P544" s="3"/>
      <c r="Q544" s="3"/>
      <c r="R544" s="3"/>
      <c r="S544" s="3"/>
      <c r="T544" s="3"/>
      <c r="U544" s="3"/>
      <c r="V544" s="3"/>
      <c r="W544" s="3"/>
      <c r="X544" s="3"/>
      <c r="Y544" s="3"/>
      <c r="Z544" s="3"/>
    </row>
    <row r="545">
      <c r="A545" s="3"/>
      <c r="B545" s="1"/>
      <c r="C545" s="1"/>
      <c r="D545" s="3"/>
      <c r="E545" s="5"/>
      <c r="F545" s="3"/>
      <c r="G545" s="3"/>
      <c r="H545" s="3"/>
      <c r="I545" s="3"/>
      <c r="J545" s="5"/>
      <c r="K545" s="3"/>
      <c r="L545" s="3"/>
      <c r="M545" s="3"/>
      <c r="N545" s="3"/>
      <c r="O545" s="3"/>
      <c r="P545" s="3"/>
      <c r="Q545" s="3"/>
      <c r="R545" s="3"/>
      <c r="S545" s="3"/>
      <c r="T545" s="3"/>
      <c r="U545" s="3"/>
      <c r="V545" s="3"/>
      <c r="W545" s="3"/>
      <c r="X545" s="3"/>
      <c r="Y545" s="3"/>
      <c r="Z545" s="3"/>
    </row>
    <row r="546">
      <c r="A546" s="3"/>
      <c r="B546" s="1"/>
      <c r="C546" s="1"/>
      <c r="D546" s="3"/>
      <c r="E546" s="5"/>
      <c r="F546" s="3"/>
      <c r="G546" s="3"/>
      <c r="H546" s="3"/>
      <c r="I546" s="3"/>
      <c r="J546" s="5"/>
      <c r="K546" s="3"/>
      <c r="L546" s="3"/>
      <c r="M546" s="3"/>
      <c r="N546" s="3"/>
      <c r="O546" s="3"/>
      <c r="P546" s="3"/>
      <c r="Q546" s="3"/>
      <c r="R546" s="3"/>
      <c r="S546" s="3"/>
      <c r="T546" s="3"/>
      <c r="U546" s="3"/>
      <c r="V546" s="3"/>
      <c r="W546" s="3"/>
      <c r="X546" s="3"/>
      <c r="Y546" s="3"/>
      <c r="Z546" s="3"/>
    </row>
    <row r="547">
      <c r="A547" s="3"/>
      <c r="B547" s="1"/>
      <c r="C547" s="1"/>
      <c r="D547" s="3"/>
      <c r="E547" s="5"/>
      <c r="F547" s="3"/>
      <c r="G547" s="3"/>
      <c r="H547" s="3"/>
      <c r="I547" s="3"/>
      <c r="J547" s="5"/>
      <c r="K547" s="3"/>
      <c r="L547" s="3"/>
      <c r="M547" s="3"/>
      <c r="N547" s="3"/>
      <c r="O547" s="3"/>
      <c r="P547" s="3"/>
      <c r="Q547" s="3"/>
      <c r="R547" s="3"/>
      <c r="S547" s="3"/>
      <c r="T547" s="3"/>
      <c r="U547" s="3"/>
      <c r="V547" s="3"/>
      <c r="W547" s="3"/>
      <c r="X547" s="3"/>
      <c r="Y547" s="3"/>
      <c r="Z547" s="3"/>
    </row>
    <row r="548">
      <c r="A548" s="3"/>
      <c r="B548" s="1"/>
      <c r="C548" s="1"/>
      <c r="D548" s="3"/>
      <c r="E548" s="5"/>
      <c r="F548" s="3"/>
      <c r="G548" s="3"/>
      <c r="H548" s="3"/>
      <c r="I548" s="3"/>
      <c r="J548" s="5"/>
      <c r="K548" s="3"/>
      <c r="L548" s="3"/>
      <c r="M548" s="3"/>
      <c r="N548" s="3"/>
      <c r="O548" s="3"/>
      <c r="P548" s="3"/>
      <c r="Q548" s="3"/>
      <c r="R548" s="3"/>
      <c r="S548" s="3"/>
      <c r="T548" s="3"/>
      <c r="U548" s="3"/>
      <c r="V548" s="3"/>
      <c r="W548" s="3"/>
      <c r="X548" s="3"/>
      <c r="Y548" s="3"/>
      <c r="Z548" s="3"/>
    </row>
    <row r="549">
      <c r="A549" s="3"/>
      <c r="B549" s="1"/>
      <c r="C549" s="1"/>
      <c r="D549" s="3"/>
      <c r="E549" s="5"/>
      <c r="F549" s="3"/>
      <c r="G549" s="3"/>
      <c r="H549" s="3"/>
      <c r="I549" s="3"/>
      <c r="J549" s="5"/>
      <c r="K549" s="3"/>
      <c r="L549" s="3"/>
      <c r="M549" s="3"/>
      <c r="N549" s="3"/>
      <c r="O549" s="3"/>
      <c r="P549" s="3"/>
      <c r="Q549" s="3"/>
      <c r="R549" s="3"/>
      <c r="S549" s="3"/>
      <c r="T549" s="3"/>
      <c r="U549" s="3"/>
      <c r="V549" s="3"/>
      <c r="W549" s="3"/>
      <c r="X549" s="3"/>
      <c r="Y549" s="3"/>
      <c r="Z549" s="3"/>
    </row>
    <row r="550">
      <c r="A550" s="3"/>
      <c r="B550" s="1"/>
      <c r="C550" s="1"/>
      <c r="D550" s="3"/>
      <c r="E550" s="5"/>
      <c r="F550" s="3"/>
      <c r="G550" s="3"/>
      <c r="H550" s="3"/>
      <c r="I550" s="3"/>
      <c r="J550" s="5"/>
      <c r="K550" s="3"/>
      <c r="L550" s="3"/>
      <c r="M550" s="3"/>
      <c r="N550" s="3"/>
      <c r="O550" s="3"/>
      <c r="P550" s="3"/>
      <c r="Q550" s="3"/>
      <c r="R550" s="3"/>
      <c r="S550" s="3"/>
      <c r="T550" s="3"/>
      <c r="U550" s="3"/>
      <c r="V550" s="3"/>
      <c r="W550" s="3"/>
      <c r="X550" s="3"/>
      <c r="Y550" s="3"/>
      <c r="Z550" s="3"/>
    </row>
    <row r="551">
      <c r="A551" s="3"/>
      <c r="B551" s="1"/>
      <c r="C551" s="1"/>
      <c r="D551" s="3"/>
      <c r="E551" s="5"/>
      <c r="F551" s="3"/>
      <c r="G551" s="3"/>
      <c r="H551" s="3"/>
      <c r="I551" s="3"/>
      <c r="J551" s="5"/>
      <c r="K551" s="3"/>
      <c r="L551" s="3"/>
      <c r="M551" s="3"/>
      <c r="N551" s="3"/>
      <c r="O551" s="3"/>
      <c r="P551" s="3"/>
      <c r="Q551" s="3"/>
      <c r="R551" s="3"/>
      <c r="S551" s="3"/>
      <c r="T551" s="3"/>
      <c r="U551" s="3"/>
      <c r="V551" s="3"/>
      <c r="W551" s="3"/>
      <c r="X551" s="3"/>
      <c r="Y551" s="3"/>
      <c r="Z551" s="3"/>
    </row>
    <row r="552">
      <c r="A552" s="3"/>
      <c r="B552" s="1"/>
      <c r="C552" s="1"/>
      <c r="D552" s="3"/>
      <c r="E552" s="5"/>
      <c r="F552" s="3"/>
      <c r="G552" s="3"/>
      <c r="H552" s="3"/>
      <c r="I552" s="3"/>
      <c r="J552" s="5"/>
      <c r="K552" s="3"/>
      <c r="L552" s="3"/>
      <c r="M552" s="3"/>
      <c r="N552" s="3"/>
      <c r="O552" s="3"/>
      <c r="P552" s="3"/>
      <c r="Q552" s="3"/>
      <c r="R552" s="3"/>
      <c r="S552" s="3"/>
      <c r="T552" s="3"/>
      <c r="U552" s="3"/>
      <c r="V552" s="3"/>
      <c r="W552" s="3"/>
      <c r="X552" s="3"/>
      <c r="Y552" s="3"/>
      <c r="Z552" s="3"/>
    </row>
    <row r="553">
      <c r="A553" s="3"/>
      <c r="B553" s="1"/>
      <c r="C553" s="1"/>
      <c r="D553" s="3"/>
      <c r="E553" s="5"/>
      <c r="F553" s="3"/>
      <c r="G553" s="3"/>
      <c r="H553" s="3"/>
      <c r="I553" s="3"/>
      <c r="J553" s="5"/>
      <c r="K553" s="3"/>
      <c r="L553" s="3"/>
      <c r="M553" s="3"/>
      <c r="N553" s="3"/>
      <c r="O553" s="3"/>
      <c r="P553" s="3"/>
      <c r="Q553" s="3"/>
      <c r="R553" s="3"/>
      <c r="S553" s="3"/>
      <c r="T553" s="3"/>
      <c r="U553" s="3"/>
      <c r="V553" s="3"/>
      <c r="W553" s="3"/>
      <c r="X553" s="3"/>
      <c r="Y553" s="3"/>
      <c r="Z553" s="3"/>
    </row>
    <row r="554">
      <c r="A554" s="3"/>
      <c r="B554" s="1"/>
      <c r="C554" s="1"/>
      <c r="D554" s="3"/>
      <c r="E554" s="5"/>
      <c r="F554" s="3"/>
      <c r="G554" s="3"/>
      <c r="H554" s="3"/>
      <c r="I554" s="3"/>
      <c r="J554" s="5"/>
      <c r="K554" s="3"/>
      <c r="L554" s="3"/>
      <c r="M554" s="3"/>
      <c r="N554" s="3"/>
      <c r="O554" s="3"/>
      <c r="P554" s="3"/>
      <c r="Q554" s="3"/>
      <c r="R554" s="3"/>
      <c r="S554" s="3"/>
      <c r="T554" s="3"/>
      <c r="U554" s="3"/>
      <c r="V554" s="3"/>
      <c r="W554" s="3"/>
      <c r="X554" s="3"/>
      <c r="Y554" s="3"/>
      <c r="Z554" s="3"/>
    </row>
    <row r="555">
      <c r="A555" s="3"/>
      <c r="B555" s="1"/>
      <c r="C555" s="1"/>
      <c r="D555" s="3"/>
      <c r="E555" s="5"/>
      <c r="F555" s="3"/>
      <c r="G555" s="3"/>
      <c r="H555" s="3"/>
      <c r="I555" s="3"/>
      <c r="J555" s="5"/>
      <c r="K555" s="3"/>
      <c r="L555" s="3"/>
      <c r="M555" s="3"/>
      <c r="N555" s="3"/>
      <c r="O555" s="3"/>
      <c r="P555" s="3"/>
      <c r="Q555" s="3"/>
      <c r="R555" s="3"/>
      <c r="S555" s="3"/>
      <c r="T555" s="3"/>
      <c r="U555" s="3"/>
      <c r="V555" s="3"/>
      <c r="W555" s="3"/>
      <c r="X555" s="3"/>
      <c r="Y555" s="3"/>
      <c r="Z555" s="3"/>
    </row>
    <row r="556">
      <c r="A556" s="3"/>
      <c r="B556" s="1"/>
      <c r="C556" s="1"/>
      <c r="D556" s="3"/>
      <c r="E556" s="5"/>
      <c r="F556" s="3"/>
      <c r="G556" s="3"/>
      <c r="H556" s="3"/>
      <c r="I556" s="3"/>
      <c r="J556" s="5"/>
      <c r="K556" s="3"/>
      <c r="L556" s="3"/>
      <c r="M556" s="3"/>
      <c r="N556" s="3"/>
      <c r="O556" s="3"/>
      <c r="P556" s="3"/>
      <c r="Q556" s="3"/>
      <c r="R556" s="3"/>
      <c r="S556" s="3"/>
      <c r="T556" s="3"/>
      <c r="U556" s="3"/>
      <c r="V556" s="3"/>
      <c r="W556" s="3"/>
      <c r="X556" s="3"/>
      <c r="Y556" s="3"/>
      <c r="Z556" s="3"/>
    </row>
    <row r="557">
      <c r="A557" s="3"/>
      <c r="B557" s="1"/>
      <c r="C557" s="1"/>
      <c r="D557" s="3"/>
      <c r="E557" s="5"/>
      <c r="F557" s="3"/>
      <c r="G557" s="3"/>
      <c r="H557" s="3"/>
      <c r="I557" s="3"/>
      <c r="J557" s="5"/>
      <c r="K557" s="3"/>
      <c r="L557" s="3"/>
      <c r="M557" s="3"/>
      <c r="N557" s="3"/>
      <c r="O557" s="3"/>
      <c r="P557" s="3"/>
      <c r="Q557" s="3"/>
      <c r="R557" s="3"/>
      <c r="S557" s="3"/>
      <c r="T557" s="3"/>
      <c r="U557" s="3"/>
      <c r="V557" s="3"/>
      <c r="W557" s="3"/>
      <c r="X557" s="3"/>
      <c r="Y557" s="3"/>
      <c r="Z557" s="3"/>
    </row>
    <row r="558">
      <c r="A558" s="3"/>
      <c r="B558" s="1"/>
      <c r="C558" s="1"/>
      <c r="D558" s="3"/>
      <c r="E558" s="5"/>
      <c r="F558" s="3"/>
      <c r="G558" s="3"/>
      <c r="H558" s="3"/>
      <c r="I558" s="3"/>
      <c r="J558" s="5"/>
      <c r="K558" s="3"/>
      <c r="L558" s="3"/>
      <c r="M558" s="3"/>
      <c r="N558" s="3"/>
      <c r="O558" s="3"/>
      <c r="P558" s="3"/>
      <c r="Q558" s="3"/>
      <c r="R558" s="3"/>
      <c r="S558" s="3"/>
      <c r="T558" s="3"/>
      <c r="U558" s="3"/>
      <c r="V558" s="3"/>
      <c r="W558" s="3"/>
      <c r="X558" s="3"/>
      <c r="Y558" s="3"/>
      <c r="Z558" s="3"/>
    </row>
    <row r="559">
      <c r="A559" s="3"/>
      <c r="B559" s="1"/>
      <c r="C559" s="1"/>
      <c r="D559" s="3"/>
      <c r="E559" s="5"/>
      <c r="F559" s="3"/>
      <c r="G559" s="3"/>
      <c r="H559" s="3"/>
      <c r="I559" s="3"/>
      <c r="J559" s="5"/>
      <c r="K559" s="3"/>
      <c r="L559" s="3"/>
      <c r="M559" s="3"/>
      <c r="N559" s="3"/>
      <c r="O559" s="3"/>
      <c r="P559" s="3"/>
      <c r="Q559" s="3"/>
      <c r="R559" s="3"/>
      <c r="S559" s="3"/>
      <c r="T559" s="3"/>
      <c r="U559" s="3"/>
      <c r="V559" s="3"/>
      <c r="W559" s="3"/>
      <c r="X559" s="3"/>
      <c r="Y559" s="3"/>
      <c r="Z559" s="3"/>
    </row>
    <row r="560">
      <c r="A560" s="3"/>
      <c r="B560" s="1"/>
      <c r="C560" s="1"/>
      <c r="D560" s="3"/>
      <c r="E560" s="5"/>
      <c r="F560" s="3"/>
      <c r="G560" s="3"/>
      <c r="H560" s="3"/>
      <c r="I560" s="3"/>
      <c r="J560" s="5"/>
      <c r="K560" s="3"/>
      <c r="L560" s="3"/>
      <c r="M560" s="3"/>
      <c r="N560" s="3"/>
      <c r="O560" s="3"/>
      <c r="P560" s="3"/>
      <c r="Q560" s="3"/>
      <c r="R560" s="3"/>
      <c r="S560" s="3"/>
      <c r="T560" s="3"/>
      <c r="U560" s="3"/>
      <c r="V560" s="3"/>
      <c r="W560" s="3"/>
      <c r="X560" s="3"/>
      <c r="Y560" s="3"/>
      <c r="Z560" s="3"/>
    </row>
    <row r="561">
      <c r="A561" s="3"/>
      <c r="B561" s="1"/>
      <c r="C561" s="1"/>
      <c r="D561" s="3"/>
      <c r="E561" s="5"/>
      <c r="F561" s="3"/>
      <c r="G561" s="3"/>
      <c r="H561" s="3"/>
      <c r="I561" s="3"/>
      <c r="J561" s="5"/>
      <c r="K561" s="3"/>
      <c r="L561" s="3"/>
      <c r="M561" s="3"/>
      <c r="N561" s="3"/>
      <c r="O561" s="3"/>
      <c r="P561" s="3"/>
      <c r="Q561" s="3"/>
      <c r="R561" s="3"/>
      <c r="S561" s="3"/>
      <c r="T561" s="3"/>
      <c r="U561" s="3"/>
      <c r="V561" s="3"/>
      <c r="W561" s="3"/>
      <c r="X561" s="3"/>
      <c r="Y561" s="3"/>
      <c r="Z561" s="3"/>
    </row>
    <row r="562">
      <c r="A562" s="3"/>
      <c r="B562" s="1"/>
      <c r="C562" s="1"/>
      <c r="D562" s="3"/>
      <c r="E562" s="5"/>
      <c r="F562" s="3"/>
      <c r="G562" s="3"/>
      <c r="H562" s="3"/>
      <c r="I562" s="3"/>
      <c r="J562" s="5"/>
      <c r="K562" s="3"/>
      <c r="L562" s="3"/>
      <c r="M562" s="3"/>
      <c r="N562" s="3"/>
      <c r="O562" s="3"/>
      <c r="P562" s="3"/>
      <c r="Q562" s="3"/>
      <c r="R562" s="3"/>
      <c r="S562" s="3"/>
      <c r="T562" s="3"/>
      <c r="U562" s="3"/>
      <c r="V562" s="3"/>
      <c r="W562" s="3"/>
      <c r="X562" s="3"/>
      <c r="Y562" s="3"/>
      <c r="Z562" s="3"/>
    </row>
    <row r="563">
      <c r="A563" s="3"/>
      <c r="B563" s="1"/>
      <c r="C563" s="1"/>
      <c r="D563" s="3"/>
      <c r="E563" s="5"/>
      <c r="F563" s="3"/>
      <c r="G563" s="3"/>
      <c r="H563" s="3"/>
      <c r="I563" s="3"/>
      <c r="J563" s="5"/>
      <c r="K563" s="3"/>
      <c r="L563" s="3"/>
      <c r="M563" s="3"/>
      <c r="N563" s="3"/>
      <c r="O563" s="3"/>
      <c r="P563" s="3"/>
      <c r="Q563" s="3"/>
      <c r="R563" s="3"/>
      <c r="S563" s="3"/>
      <c r="T563" s="3"/>
      <c r="U563" s="3"/>
      <c r="V563" s="3"/>
      <c r="W563" s="3"/>
      <c r="X563" s="3"/>
      <c r="Y563" s="3"/>
      <c r="Z563" s="3"/>
    </row>
    <row r="564">
      <c r="A564" s="3"/>
      <c r="B564" s="1"/>
      <c r="C564" s="1"/>
      <c r="D564" s="3"/>
      <c r="E564" s="5"/>
      <c r="F564" s="3"/>
      <c r="G564" s="3"/>
      <c r="H564" s="3"/>
      <c r="I564" s="3"/>
      <c r="J564" s="5"/>
      <c r="K564" s="3"/>
      <c r="L564" s="3"/>
      <c r="M564" s="3"/>
      <c r="N564" s="3"/>
      <c r="O564" s="3"/>
      <c r="P564" s="3"/>
      <c r="Q564" s="3"/>
      <c r="R564" s="3"/>
      <c r="S564" s="3"/>
      <c r="T564" s="3"/>
      <c r="U564" s="3"/>
      <c r="V564" s="3"/>
      <c r="W564" s="3"/>
      <c r="X564" s="3"/>
      <c r="Y564" s="3"/>
      <c r="Z564" s="3"/>
    </row>
    <row r="565">
      <c r="A565" s="3"/>
      <c r="B565" s="1"/>
      <c r="C565" s="1"/>
      <c r="D565" s="3"/>
      <c r="E565" s="5"/>
      <c r="F565" s="3"/>
      <c r="G565" s="3"/>
      <c r="H565" s="3"/>
      <c r="I565" s="3"/>
      <c r="J565" s="5"/>
      <c r="K565" s="3"/>
      <c r="L565" s="3"/>
      <c r="M565" s="3"/>
      <c r="N565" s="3"/>
      <c r="O565" s="3"/>
      <c r="P565" s="3"/>
      <c r="Q565" s="3"/>
      <c r="R565" s="3"/>
      <c r="S565" s="3"/>
      <c r="T565" s="3"/>
      <c r="U565" s="3"/>
      <c r="V565" s="3"/>
      <c r="W565" s="3"/>
      <c r="X565" s="3"/>
      <c r="Y565" s="3"/>
      <c r="Z565" s="3"/>
    </row>
    <row r="566">
      <c r="A566" s="3"/>
      <c r="B566" s="1"/>
      <c r="C566" s="1"/>
      <c r="D566" s="3"/>
      <c r="E566" s="5"/>
      <c r="F566" s="3"/>
      <c r="G566" s="3"/>
      <c r="H566" s="3"/>
      <c r="I566" s="3"/>
      <c r="J566" s="5"/>
      <c r="K566" s="3"/>
      <c r="L566" s="3"/>
      <c r="M566" s="3"/>
      <c r="N566" s="3"/>
      <c r="O566" s="3"/>
      <c r="P566" s="3"/>
      <c r="Q566" s="3"/>
      <c r="R566" s="3"/>
      <c r="S566" s="3"/>
      <c r="T566" s="3"/>
      <c r="U566" s="3"/>
      <c r="V566" s="3"/>
      <c r="W566" s="3"/>
      <c r="X566" s="3"/>
      <c r="Y566" s="3"/>
      <c r="Z566" s="3"/>
    </row>
    <row r="567">
      <c r="A567" s="3"/>
      <c r="B567" s="1"/>
      <c r="C567" s="1"/>
      <c r="D567" s="3"/>
      <c r="E567" s="5"/>
      <c r="F567" s="3"/>
      <c r="G567" s="3"/>
      <c r="H567" s="3"/>
      <c r="I567" s="3"/>
      <c r="J567" s="5"/>
      <c r="K567" s="3"/>
      <c r="L567" s="3"/>
      <c r="M567" s="3"/>
      <c r="N567" s="3"/>
      <c r="O567" s="3"/>
      <c r="P567" s="3"/>
      <c r="Q567" s="3"/>
      <c r="R567" s="3"/>
      <c r="S567" s="3"/>
      <c r="T567" s="3"/>
      <c r="U567" s="3"/>
      <c r="V567" s="3"/>
      <c r="W567" s="3"/>
      <c r="X567" s="3"/>
      <c r="Y567" s="3"/>
      <c r="Z567" s="3"/>
    </row>
    <row r="568">
      <c r="A568" s="3"/>
      <c r="B568" s="1"/>
      <c r="C568" s="1"/>
      <c r="D568" s="3"/>
      <c r="E568" s="5"/>
      <c r="F568" s="3"/>
      <c r="G568" s="3"/>
      <c r="H568" s="3"/>
      <c r="I568" s="3"/>
      <c r="J568" s="5"/>
      <c r="K568" s="3"/>
      <c r="L568" s="3"/>
      <c r="M568" s="3"/>
      <c r="N568" s="3"/>
      <c r="O568" s="3"/>
      <c r="P568" s="3"/>
      <c r="Q568" s="3"/>
      <c r="R568" s="3"/>
      <c r="S568" s="3"/>
      <c r="T568" s="3"/>
      <c r="U568" s="3"/>
      <c r="V568" s="3"/>
      <c r="W568" s="3"/>
      <c r="X568" s="3"/>
      <c r="Y568" s="3"/>
      <c r="Z568" s="3"/>
    </row>
    <row r="569">
      <c r="A569" s="3"/>
      <c r="B569" s="1"/>
      <c r="C569" s="1"/>
      <c r="D569" s="3"/>
      <c r="E569" s="5"/>
      <c r="F569" s="3"/>
      <c r="G569" s="3"/>
      <c r="H569" s="3"/>
      <c r="I569" s="3"/>
      <c r="J569" s="5"/>
      <c r="K569" s="3"/>
      <c r="L569" s="3"/>
      <c r="M569" s="3"/>
      <c r="N569" s="3"/>
      <c r="O569" s="3"/>
      <c r="P569" s="3"/>
      <c r="Q569" s="3"/>
      <c r="R569" s="3"/>
      <c r="S569" s="3"/>
      <c r="T569" s="3"/>
      <c r="U569" s="3"/>
      <c r="V569" s="3"/>
      <c r="W569" s="3"/>
      <c r="X569" s="3"/>
      <c r="Y569" s="3"/>
      <c r="Z569" s="3"/>
    </row>
    <row r="570">
      <c r="A570" s="3"/>
      <c r="B570" s="1"/>
      <c r="C570" s="1"/>
      <c r="D570" s="3"/>
      <c r="E570" s="5"/>
      <c r="F570" s="3"/>
      <c r="G570" s="3"/>
      <c r="H570" s="3"/>
      <c r="I570" s="3"/>
      <c r="J570" s="5"/>
      <c r="K570" s="3"/>
      <c r="L570" s="3"/>
      <c r="M570" s="3"/>
      <c r="N570" s="3"/>
      <c r="O570" s="3"/>
      <c r="P570" s="3"/>
      <c r="Q570" s="3"/>
      <c r="R570" s="3"/>
      <c r="S570" s="3"/>
      <c r="T570" s="3"/>
      <c r="U570" s="3"/>
      <c r="V570" s="3"/>
      <c r="W570" s="3"/>
      <c r="X570" s="3"/>
      <c r="Y570" s="3"/>
      <c r="Z570" s="3"/>
    </row>
    <row r="571">
      <c r="A571" s="3"/>
      <c r="B571" s="1"/>
      <c r="C571" s="1"/>
      <c r="D571" s="3"/>
      <c r="E571" s="5"/>
      <c r="F571" s="3"/>
      <c r="G571" s="3"/>
      <c r="H571" s="3"/>
      <c r="I571" s="3"/>
      <c r="J571" s="5"/>
      <c r="K571" s="3"/>
      <c r="L571" s="3"/>
      <c r="M571" s="3"/>
      <c r="N571" s="3"/>
      <c r="O571" s="3"/>
      <c r="P571" s="3"/>
      <c r="Q571" s="3"/>
      <c r="R571" s="3"/>
      <c r="S571" s="3"/>
      <c r="T571" s="3"/>
      <c r="U571" s="3"/>
      <c r="V571" s="3"/>
      <c r="W571" s="3"/>
      <c r="X571" s="3"/>
      <c r="Y571" s="3"/>
      <c r="Z571" s="3"/>
    </row>
    <row r="572">
      <c r="A572" s="3"/>
      <c r="B572" s="1"/>
      <c r="C572" s="1"/>
      <c r="D572" s="3"/>
      <c r="E572" s="5"/>
      <c r="F572" s="3"/>
      <c r="G572" s="3"/>
      <c r="H572" s="3"/>
      <c r="I572" s="3"/>
      <c r="J572" s="5"/>
      <c r="K572" s="3"/>
      <c r="L572" s="3"/>
      <c r="M572" s="3"/>
      <c r="N572" s="3"/>
      <c r="O572" s="3"/>
      <c r="P572" s="3"/>
      <c r="Q572" s="3"/>
      <c r="R572" s="3"/>
      <c r="S572" s="3"/>
      <c r="T572" s="3"/>
      <c r="U572" s="3"/>
      <c r="V572" s="3"/>
      <c r="W572" s="3"/>
      <c r="X572" s="3"/>
      <c r="Y572" s="3"/>
      <c r="Z572" s="3"/>
    </row>
    <row r="573">
      <c r="A573" s="3"/>
      <c r="B573" s="1"/>
      <c r="C573" s="1"/>
      <c r="D573" s="3"/>
      <c r="E573" s="5"/>
      <c r="F573" s="3"/>
      <c r="G573" s="3"/>
      <c r="H573" s="3"/>
      <c r="I573" s="3"/>
      <c r="J573" s="5"/>
      <c r="K573" s="3"/>
      <c r="L573" s="3"/>
      <c r="M573" s="3"/>
      <c r="N573" s="3"/>
      <c r="O573" s="3"/>
      <c r="P573" s="3"/>
      <c r="Q573" s="3"/>
      <c r="R573" s="3"/>
      <c r="S573" s="3"/>
      <c r="T573" s="3"/>
      <c r="U573" s="3"/>
      <c r="V573" s="3"/>
      <c r="W573" s="3"/>
      <c r="X573" s="3"/>
      <c r="Y573" s="3"/>
      <c r="Z573" s="3"/>
    </row>
    <row r="574">
      <c r="A574" s="3"/>
      <c r="B574" s="1"/>
      <c r="C574" s="1"/>
      <c r="D574" s="3"/>
      <c r="E574" s="5"/>
      <c r="F574" s="3"/>
      <c r="G574" s="3"/>
      <c r="H574" s="3"/>
      <c r="I574" s="3"/>
      <c r="J574" s="5"/>
      <c r="K574" s="3"/>
      <c r="L574" s="3"/>
      <c r="M574" s="3"/>
      <c r="N574" s="3"/>
      <c r="O574" s="3"/>
      <c r="P574" s="3"/>
      <c r="Q574" s="3"/>
      <c r="R574" s="3"/>
      <c r="S574" s="3"/>
      <c r="T574" s="3"/>
      <c r="U574" s="3"/>
      <c r="V574" s="3"/>
      <c r="W574" s="3"/>
      <c r="X574" s="3"/>
      <c r="Y574" s="3"/>
      <c r="Z574" s="3"/>
    </row>
    <row r="575">
      <c r="A575" s="3"/>
      <c r="B575" s="1"/>
      <c r="C575" s="1"/>
      <c r="D575" s="3"/>
      <c r="E575" s="5"/>
      <c r="F575" s="3"/>
      <c r="G575" s="3"/>
      <c r="H575" s="3"/>
      <c r="I575" s="3"/>
      <c r="J575" s="5"/>
      <c r="K575" s="3"/>
      <c r="L575" s="3"/>
      <c r="M575" s="3"/>
      <c r="N575" s="3"/>
      <c r="O575" s="3"/>
      <c r="P575" s="3"/>
      <c r="Q575" s="3"/>
      <c r="R575" s="3"/>
      <c r="S575" s="3"/>
      <c r="T575" s="3"/>
      <c r="U575" s="3"/>
      <c r="V575" s="3"/>
      <c r="W575" s="3"/>
      <c r="X575" s="3"/>
      <c r="Y575" s="3"/>
      <c r="Z575" s="3"/>
    </row>
    <row r="576">
      <c r="A576" s="3"/>
      <c r="B576" s="1"/>
      <c r="C576" s="1"/>
      <c r="D576" s="3"/>
      <c r="E576" s="5"/>
      <c r="F576" s="3"/>
      <c r="G576" s="3"/>
      <c r="H576" s="3"/>
      <c r="I576" s="3"/>
      <c r="J576" s="5"/>
      <c r="K576" s="3"/>
      <c r="L576" s="3"/>
      <c r="M576" s="3"/>
      <c r="N576" s="3"/>
      <c r="O576" s="3"/>
      <c r="P576" s="3"/>
      <c r="Q576" s="3"/>
      <c r="R576" s="3"/>
      <c r="S576" s="3"/>
      <c r="T576" s="3"/>
      <c r="U576" s="3"/>
      <c r="V576" s="3"/>
      <c r="W576" s="3"/>
      <c r="X576" s="3"/>
      <c r="Y576" s="3"/>
      <c r="Z576" s="3"/>
    </row>
    <row r="577">
      <c r="A577" s="3"/>
      <c r="B577" s="1"/>
      <c r="C577" s="1"/>
      <c r="D577" s="3"/>
      <c r="E577" s="5"/>
      <c r="F577" s="3"/>
      <c r="G577" s="3"/>
      <c r="H577" s="3"/>
      <c r="I577" s="3"/>
      <c r="J577" s="5"/>
      <c r="K577" s="3"/>
      <c r="L577" s="3"/>
      <c r="M577" s="3"/>
      <c r="N577" s="3"/>
      <c r="O577" s="3"/>
      <c r="P577" s="3"/>
      <c r="Q577" s="3"/>
      <c r="R577" s="3"/>
      <c r="S577" s="3"/>
      <c r="T577" s="3"/>
      <c r="U577" s="3"/>
      <c r="V577" s="3"/>
      <c r="W577" s="3"/>
      <c r="X577" s="3"/>
      <c r="Y577" s="3"/>
      <c r="Z577" s="3"/>
    </row>
    <row r="578">
      <c r="A578" s="3"/>
      <c r="B578" s="1"/>
      <c r="C578" s="1"/>
      <c r="D578" s="3"/>
      <c r="E578" s="5"/>
      <c r="F578" s="3"/>
      <c r="G578" s="3"/>
      <c r="H578" s="3"/>
      <c r="I578" s="3"/>
      <c r="J578" s="5"/>
      <c r="K578" s="3"/>
      <c r="L578" s="3"/>
      <c r="M578" s="3"/>
      <c r="N578" s="3"/>
      <c r="O578" s="3"/>
      <c r="P578" s="3"/>
      <c r="Q578" s="3"/>
      <c r="R578" s="3"/>
      <c r="S578" s="3"/>
      <c r="T578" s="3"/>
      <c r="U578" s="3"/>
      <c r="V578" s="3"/>
      <c r="W578" s="3"/>
      <c r="X578" s="3"/>
      <c r="Y578" s="3"/>
      <c r="Z578" s="3"/>
    </row>
    <row r="579">
      <c r="A579" s="3"/>
      <c r="B579" s="1"/>
      <c r="C579" s="1"/>
      <c r="D579" s="3"/>
      <c r="E579" s="5"/>
      <c r="F579" s="3"/>
      <c r="G579" s="3"/>
      <c r="H579" s="3"/>
      <c r="I579" s="3"/>
      <c r="J579" s="5"/>
      <c r="K579" s="3"/>
      <c r="L579" s="3"/>
      <c r="M579" s="3"/>
      <c r="N579" s="3"/>
      <c r="O579" s="3"/>
      <c r="P579" s="3"/>
      <c r="Q579" s="3"/>
      <c r="R579" s="3"/>
      <c r="S579" s="3"/>
      <c r="T579" s="3"/>
      <c r="U579" s="3"/>
      <c r="V579" s="3"/>
      <c r="W579" s="3"/>
      <c r="X579" s="3"/>
      <c r="Y579" s="3"/>
      <c r="Z579" s="3"/>
    </row>
    <row r="580">
      <c r="A580" s="3"/>
      <c r="B580" s="1"/>
      <c r="C580" s="1"/>
      <c r="D580" s="3"/>
      <c r="E580" s="5"/>
      <c r="F580" s="3"/>
      <c r="G580" s="3"/>
      <c r="H580" s="3"/>
      <c r="I580" s="3"/>
      <c r="J580" s="5"/>
      <c r="K580" s="3"/>
      <c r="L580" s="3"/>
      <c r="M580" s="3"/>
      <c r="N580" s="3"/>
      <c r="O580" s="3"/>
      <c r="P580" s="3"/>
      <c r="Q580" s="3"/>
      <c r="R580" s="3"/>
      <c r="S580" s="3"/>
      <c r="T580" s="3"/>
      <c r="U580" s="3"/>
      <c r="V580" s="3"/>
      <c r="W580" s="3"/>
      <c r="X580" s="3"/>
      <c r="Y580" s="3"/>
      <c r="Z580" s="3"/>
    </row>
    <row r="581">
      <c r="A581" s="3"/>
      <c r="B581" s="1"/>
      <c r="C581" s="1"/>
      <c r="D581" s="3"/>
      <c r="E581" s="5"/>
      <c r="F581" s="3"/>
      <c r="G581" s="3"/>
      <c r="H581" s="3"/>
      <c r="I581" s="3"/>
      <c r="J581" s="5"/>
      <c r="K581" s="3"/>
      <c r="L581" s="3"/>
      <c r="M581" s="3"/>
      <c r="N581" s="3"/>
      <c r="O581" s="3"/>
      <c r="P581" s="3"/>
      <c r="Q581" s="3"/>
      <c r="R581" s="3"/>
      <c r="S581" s="3"/>
      <c r="T581" s="3"/>
      <c r="U581" s="3"/>
      <c r="V581" s="3"/>
      <c r="W581" s="3"/>
      <c r="X581" s="3"/>
      <c r="Y581" s="3"/>
      <c r="Z581" s="3"/>
    </row>
    <row r="582">
      <c r="A582" s="3"/>
      <c r="B582" s="1"/>
      <c r="C582" s="1"/>
      <c r="D582" s="3"/>
      <c r="E582" s="5"/>
      <c r="F582" s="3"/>
      <c r="G582" s="3"/>
      <c r="H582" s="3"/>
      <c r="I582" s="3"/>
      <c r="J582" s="5"/>
      <c r="K582" s="3"/>
      <c r="L582" s="3"/>
      <c r="M582" s="3"/>
      <c r="N582" s="3"/>
      <c r="O582" s="3"/>
      <c r="P582" s="3"/>
      <c r="Q582" s="3"/>
      <c r="R582" s="3"/>
      <c r="S582" s="3"/>
      <c r="T582" s="3"/>
      <c r="U582" s="3"/>
      <c r="V582" s="3"/>
      <c r="W582" s="3"/>
      <c r="X582" s="3"/>
      <c r="Y582" s="3"/>
      <c r="Z582" s="3"/>
    </row>
    <row r="583">
      <c r="A583" s="3"/>
      <c r="B583" s="1"/>
      <c r="C583" s="1"/>
      <c r="D583" s="3"/>
      <c r="E583" s="5"/>
      <c r="F583" s="3"/>
      <c r="G583" s="3"/>
      <c r="H583" s="3"/>
      <c r="I583" s="3"/>
      <c r="J583" s="5"/>
      <c r="K583" s="3"/>
      <c r="L583" s="3"/>
      <c r="M583" s="3"/>
      <c r="N583" s="3"/>
      <c r="O583" s="3"/>
      <c r="P583" s="3"/>
      <c r="Q583" s="3"/>
      <c r="R583" s="3"/>
      <c r="S583" s="3"/>
      <c r="T583" s="3"/>
      <c r="U583" s="3"/>
      <c r="V583" s="3"/>
      <c r="W583" s="3"/>
      <c r="X583" s="3"/>
      <c r="Y583" s="3"/>
      <c r="Z583" s="3"/>
    </row>
    <row r="584">
      <c r="A584" s="3"/>
      <c r="B584" s="1"/>
      <c r="C584" s="1"/>
      <c r="D584" s="3"/>
      <c r="E584" s="5"/>
      <c r="F584" s="3"/>
      <c r="G584" s="3"/>
      <c r="H584" s="3"/>
      <c r="I584" s="3"/>
      <c r="J584" s="5"/>
      <c r="K584" s="3"/>
      <c r="L584" s="3"/>
      <c r="M584" s="3"/>
      <c r="N584" s="3"/>
      <c r="O584" s="3"/>
      <c r="P584" s="3"/>
      <c r="Q584" s="3"/>
      <c r="R584" s="3"/>
      <c r="S584" s="3"/>
      <c r="T584" s="3"/>
      <c r="U584" s="3"/>
      <c r="V584" s="3"/>
      <c r="W584" s="3"/>
      <c r="X584" s="3"/>
      <c r="Y584" s="3"/>
      <c r="Z584" s="3"/>
    </row>
    <row r="585">
      <c r="A585" s="3"/>
      <c r="B585" s="1"/>
      <c r="C585" s="1"/>
      <c r="D585" s="3"/>
      <c r="E585" s="5"/>
      <c r="F585" s="3"/>
      <c r="G585" s="3"/>
      <c r="H585" s="3"/>
      <c r="I585" s="3"/>
      <c r="J585" s="5"/>
      <c r="K585" s="3"/>
      <c r="L585" s="3"/>
      <c r="M585" s="3"/>
      <c r="N585" s="3"/>
      <c r="O585" s="3"/>
      <c r="P585" s="3"/>
      <c r="Q585" s="3"/>
      <c r="R585" s="3"/>
      <c r="S585" s="3"/>
      <c r="T585" s="3"/>
      <c r="U585" s="3"/>
      <c r="V585" s="3"/>
      <c r="W585" s="3"/>
      <c r="X585" s="3"/>
      <c r="Y585" s="3"/>
      <c r="Z585" s="3"/>
    </row>
    <row r="586">
      <c r="A586" s="3"/>
      <c r="B586" s="1"/>
      <c r="C586" s="1"/>
      <c r="D586" s="3"/>
      <c r="E586" s="5"/>
      <c r="F586" s="3"/>
      <c r="G586" s="3"/>
      <c r="H586" s="3"/>
      <c r="I586" s="3"/>
      <c r="J586" s="5"/>
      <c r="K586" s="3"/>
      <c r="L586" s="3"/>
      <c r="M586" s="3"/>
      <c r="N586" s="3"/>
      <c r="O586" s="3"/>
      <c r="P586" s="3"/>
      <c r="Q586" s="3"/>
      <c r="R586" s="3"/>
      <c r="S586" s="3"/>
      <c r="T586" s="3"/>
      <c r="U586" s="3"/>
      <c r="V586" s="3"/>
      <c r="W586" s="3"/>
      <c r="X586" s="3"/>
      <c r="Y586" s="3"/>
      <c r="Z586" s="3"/>
    </row>
    <row r="587">
      <c r="A587" s="3"/>
      <c r="B587" s="1"/>
      <c r="C587" s="1"/>
      <c r="D587" s="3"/>
      <c r="E587" s="5"/>
      <c r="F587" s="3"/>
      <c r="G587" s="3"/>
      <c r="H587" s="3"/>
      <c r="I587" s="3"/>
      <c r="J587" s="5"/>
      <c r="K587" s="3"/>
      <c r="L587" s="3"/>
      <c r="M587" s="3"/>
      <c r="N587" s="3"/>
      <c r="O587" s="3"/>
      <c r="P587" s="3"/>
      <c r="Q587" s="3"/>
      <c r="R587" s="3"/>
      <c r="S587" s="3"/>
      <c r="T587" s="3"/>
      <c r="U587" s="3"/>
      <c r="V587" s="3"/>
      <c r="W587" s="3"/>
      <c r="X587" s="3"/>
      <c r="Y587" s="3"/>
      <c r="Z587" s="3"/>
    </row>
    <row r="588">
      <c r="A588" s="3"/>
      <c r="B588" s="1"/>
      <c r="C588" s="1"/>
      <c r="D588" s="3"/>
      <c r="E588" s="5"/>
      <c r="F588" s="3"/>
      <c r="G588" s="3"/>
      <c r="H588" s="3"/>
      <c r="I588" s="3"/>
      <c r="J588" s="5"/>
      <c r="K588" s="3"/>
      <c r="L588" s="3"/>
      <c r="M588" s="3"/>
      <c r="N588" s="3"/>
      <c r="O588" s="3"/>
      <c r="P588" s="3"/>
      <c r="Q588" s="3"/>
      <c r="R588" s="3"/>
      <c r="S588" s="3"/>
      <c r="T588" s="3"/>
      <c r="U588" s="3"/>
      <c r="V588" s="3"/>
      <c r="W588" s="3"/>
      <c r="X588" s="3"/>
      <c r="Y588" s="3"/>
      <c r="Z588" s="3"/>
    </row>
    <row r="589">
      <c r="A589" s="3"/>
      <c r="B589" s="1"/>
      <c r="C589" s="1"/>
      <c r="D589" s="3"/>
      <c r="E589" s="5"/>
      <c r="F589" s="3"/>
      <c r="G589" s="3"/>
      <c r="H589" s="3"/>
      <c r="I589" s="3"/>
      <c r="J589" s="5"/>
      <c r="K589" s="3"/>
      <c r="L589" s="3"/>
      <c r="M589" s="3"/>
      <c r="N589" s="3"/>
      <c r="O589" s="3"/>
      <c r="P589" s="3"/>
      <c r="Q589" s="3"/>
      <c r="R589" s="3"/>
      <c r="S589" s="3"/>
      <c r="T589" s="3"/>
      <c r="U589" s="3"/>
      <c r="V589" s="3"/>
      <c r="W589" s="3"/>
      <c r="X589" s="3"/>
      <c r="Y589" s="3"/>
      <c r="Z589" s="3"/>
    </row>
    <row r="590">
      <c r="A590" s="3"/>
      <c r="B590" s="1"/>
      <c r="C590" s="1"/>
      <c r="D590" s="3"/>
      <c r="E590" s="5"/>
      <c r="F590" s="3"/>
      <c r="G590" s="3"/>
      <c r="H590" s="3"/>
      <c r="I590" s="3"/>
      <c r="J590" s="5"/>
      <c r="K590" s="3"/>
      <c r="L590" s="3"/>
      <c r="M590" s="3"/>
      <c r="N590" s="3"/>
      <c r="O590" s="3"/>
      <c r="P590" s="3"/>
      <c r="Q590" s="3"/>
      <c r="R590" s="3"/>
      <c r="S590" s="3"/>
      <c r="T590" s="3"/>
      <c r="U590" s="3"/>
      <c r="V590" s="3"/>
      <c r="W590" s="3"/>
      <c r="X590" s="3"/>
      <c r="Y590" s="3"/>
      <c r="Z590" s="3"/>
    </row>
    <row r="591">
      <c r="A591" s="3"/>
      <c r="B591" s="1"/>
      <c r="C591" s="1"/>
      <c r="D591" s="3"/>
      <c r="E591" s="5"/>
      <c r="F591" s="3"/>
      <c r="G591" s="3"/>
      <c r="H591" s="3"/>
      <c r="I591" s="3"/>
      <c r="J591" s="5"/>
      <c r="K591" s="3"/>
      <c r="L591" s="3"/>
      <c r="M591" s="3"/>
      <c r="N591" s="3"/>
      <c r="O591" s="3"/>
      <c r="P591" s="3"/>
      <c r="Q591" s="3"/>
      <c r="R591" s="3"/>
      <c r="S591" s="3"/>
      <c r="T591" s="3"/>
      <c r="U591" s="3"/>
      <c r="V591" s="3"/>
      <c r="W591" s="3"/>
      <c r="X591" s="3"/>
      <c r="Y591" s="3"/>
      <c r="Z591" s="3"/>
    </row>
    <row r="592">
      <c r="A592" s="3"/>
      <c r="B592" s="1"/>
      <c r="C592" s="1"/>
      <c r="D592" s="3"/>
      <c r="E592" s="5"/>
      <c r="F592" s="3"/>
      <c r="G592" s="3"/>
      <c r="H592" s="3"/>
      <c r="I592" s="3"/>
      <c r="J592" s="5"/>
      <c r="K592" s="3"/>
      <c r="L592" s="3"/>
      <c r="M592" s="3"/>
      <c r="N592" s="3"/>
      <c r="O592" s="3"/>
      <c r="P592" s="3"/>
      <c r="Q592" s="3"/>
      <c r="R592" s="3"/>
      <c r="S592" s="3"/>
      <c r="T592" s="3"/>
      <c r="U592" s="3"/>
      <c r="V592" s="3"/>
      <c r="W592" s="3"/>
      <c r="X592" s="3"/>
      <c r="Y592" s="3"/>
      <c r="Z592" s="3"/>
    </row>
    <row r="593">
      <c r="A593" s="3"/>
      <c r="B593" s="1"/>
      <c r="C593" s="1"/>
      <c r="D593" s="3"/>
      <c r="E593" s="5"/>
      <c r="F593" s="3"/>
      <c r="G593" s="3"/>
      <c r="H593" s="3"/>
      <c r="I593" s="3"/>
      <c r="J593" s="5"/>
      <c r="K593" s="3"/>
      <c r="L593" s="3"/>
      <c r="M593" s="3"/>
      <c r="N593" s="3"/>
      <c r="O593" s="3"/>
      <c r="P593" s="3"/>
      <c r="Q593" s="3"/>
      <c r="R593" s="3"/>
      <c r="S593" s="3"/>
      <c r="T593" s="3"/>
      <c r="U593" s="3"/>
      <c r="V593" s="3"/>
      <c r="W593" s="3"/>
      <c r="X593" s="3"/>
      <c r="Y593" s="3"/>
      <c r="Z593" s="3"/>
    </row>
    <row r="594">
      <c r="A594" s="3"/>
      <c r="B594" s="1"/>
      <c r="C594" s="1"/>
      <c r="D594" s="3"/>
      <c r="E594" s="5"/>
      <c r="F594" s="3"/>
      <c r="G594" s="3"/>
      <c r="H594" s="3"/>
      <c r="I594" s="3"/>
      <c r="J594" s="5"/>
      <c r="K594" s="3"/>
      <c r="L594" s="3"/>
      <c r="M594" s="3"/>
      <c r="N594" s="3"/>
      <c r="O594" s="3"/>
      <c r="P594" s="3"/>
      <c r="Q594" s="3"/>
      <c r="R594" s="3"/>
      <c r="S594" s="3"/>
      <c r="T594" s="3"/>
      <c r="U594" s="3"/>
      <c r="V594" s="3"/>
      <c r="W594" s="3"/>
      <c r="X594" s="3"/>
      <c r="Y594" s="3"/>
      <c r="Z594" s="3"/>
    </row>
    <row r="595">
      <c r="A595" s="3"/>
      <c r="B595" s="1"/>
      <c r="C595" s="1"/>
      <c r="D595" s="3"/>
      <c r="E595" s="5"/>
      <c r="F595" s="3"/>
      <c r="G595" s="3"/>
      <c r="H595" s="3"/>
      <c r="I595" s="3"/>
      <c r="J595" s="5"/>
      <c r="K595" s="3"/>
      <c r="L595" s="3"/>
      <c r="M595" s="3"/>
      <c r="N595" s="3"/>
      <c r="O595" s="3"/>
      <c r="P595" s="3"/>
      <c r="Q595" s="3"/>
      <c r="R595" s="3"/>
      <c r="S595" s="3"/>
      <c r="T595" s="3"/>
      <c r="U595" s="3"/>
      <c r="V595" s="3"/>
      <c r="W595" s="3"/>
      <c r="X595" s="3"/>
      <c r="Y595" s="3"/>
      <c r="Z595" s="3"/>
    </row>
    <row r="596">
      <c r="A596" s="3"/>
      <c r="B596" s="1"/>
      <c r="C596" s="1"/>
      <c r="D596" s="3"/>
      <c r="E596" s="5"/>
      <c r="F596" s="3"/>
      <c r="G596" s="3"/>
      <c r="H596" s="3"/>
      <c r="I596" s="3"/>
      <c r="J596" s="5"/>
      <c r="K596" s="3"/>
      <c r="L596" s="3"/>
      <c r="M596" s="3"/>
      <c r="N596" s="3"/>
      <c r="O596" s="3"/>
      <c r="P596" s="3"/>
      <c r="Q596" s="3"/>
      <c r="R596" s="3"/>
      <c r="S596" s="3"/>
      <c r="T596" s="3"/>
      <c r="U596" s="3"/>
      <c r="V596" s="3"/>
      <c r="W596" s="3"/>
      <c r="X596" s="3"/>
      <c r="Y596" s="3"/>
      <c r="Z596" s="3"/>
    </row>
    <row r="597">
      <c r="A597" s="3"/>
      <c r="B597" s="1"/>
      <c r="C597" s="1"/>
      <c r="D597" s="3"/>
      <c r="E597" s="5"/>
      <c r="F597" s="3"/>
      <c r="G597" s="3"/>
      <c r="H597" s="3"/>
      <c r="I597" s="3"/>
      <c r="J597" s="5"/>
      <c r="K597" s="3"/>
      <c r="L597" s="3"/>
      <c r="M597" s="3"/>
      <c r="N597" s="3"/>
      <c r="O597" s="3"/>
      <c r="P597" s="3"/>
      <c r="Q597" s="3"/>
      <c r="R597" s="3"/>
      <c r="S597" s="3"/>
      <c r="T597" s="3"/>
      <c r="U597" s="3"/>
      <c r="V597" s="3"/>
      <c r="W597" s="3"/>
      <c r="X597" s="3"/>
      <c r="Y597" s="3"/>
      <c r="Z597" s="3"/>
    </row>
    <row r="598">
      <c r="A598" s="3"/>
      <c r="B598" s="1"/>
      <c r="C598" s="1"/>
      <c r="D598" s="3"/>
      <c r="E598" s="5"/>
      <c r="F598" s="3"/>
      <c r="G598" s="3"/>
      <c r="H598" s="3"/>
      <c r="I598" s="3"/>
      <c r="J598" s="5"/>
      <c r="K598" s="3"/>
      <c r="L598" s="3"/>
      <c r="M598" s="3"/>
      <c r="N598" s="3"/>
      <c r="O598" s="3"/>
      <c r="P598" s="3"/>
      <c r="Q598" s="3"/>
      <c r="R598" s="3"/>
      <c r="S598" s="3"/>
      <c r="T598" s="3"/>
      <c r="U598" s="3"/>
      <c r="V598" s="3"/>
      <c r="W598" s="3"/>
      <c r="X598" s="3"/>
      <c r="Y598" s="3"/>
      <c r="Z598" s="3"/>
    </row>
    <row r="599">
      <c r="A599" s="3"/>
      <c r="B599" s="1"/>
      <c r="C599" s="1"/>
      <c r="D599" s="3"/>
      <c r="E599" s="5"/>
      <c r="F599" s="3"/>
      <c r="G599" s="3"/>
      <c r="H599" s="3"/>
      <c r="I599" s="3"/>
      <c r="J599" s="5"/>
      <c r="K599" s="3"/>
      <c r="L599" s="3"/>
      <c r="M599" s="3"/>
      <c r="N599" s="3"/>
      <c r="O599" s="3"/>
      <c r="P599" s="3"/>
      <c r="Q599" s="3"/>
      <c r="R599" s="3"/>
      <c r="S599" s="3"/>
      <c r="T599" s="3"/>
      <c r="U599" s="3"/>
      <c r="V599" s="3"/>
      <c r="W599" s="3"/>
      <c r="X599" s="3"/>
      <c r="Y599" s="3"/>
      <c r="Z599" s="3"/>
    </row>
    <row r="600">
      <c r="A600" s="3"/>
      <c r="B600" s="1"/>
      <c r="C600" s="1"/>
      <c r="D600" s="3"/>
      <c r="E600" s="5"/>
      <c r="F600" s="3"/>
      <c r="G600" s="3"/>
      <c r="H600" s="3"/>
      <c r="I600" s="3"/>
      <c r="J600" s="5"/>
      <c r="K600" s="3"/>
      <c r="L600" s="3"/>
      <c r="M600" s="3"/>
      <c r="N600" s="3"/>
      <c r="O600" s="3"/>
      <c r="P600" s="3"/>
      <c r="Q600" s="3"/>
      <c r="R600" s="3"/>
      <c r="S600" s="3"/>
      <c r="T600" s="3"/>
      <c r="U600" s="3"/>
      <c r="V600" s="3"/>
      <c r="W600" s="3"/>
      <c r="X600" s="3"/>
      <c r="Y600" s="3"/>
      <c r="Z600" s="3"/>
    </row>
    <row r="601">
      <c r="A601" s="3"/>
      <c r="B601" s="1"/>
      <c r="C601" s="1"/>
      <c r="D601" s="3"/>
      <c r="E601" s="5"/>
      <c r="F601" s="3"/>
      <c r="G601" s="3"/>
      <c r="H601" s="3"/>
      <c r="I601" s="3"/>
      <c r="J601" s="5"/>
      <c r="K601" s="3"/>
      <c r="L601" s="3"/>
      <c r="M601" s="3"/>
      <c r="N601" s="3"/>
      <c r="O601" s="3"/>
      <c r="P601" s="3"/>
      <c r="Q601" s="3"/>
      <c r="R601" s="3"/>
      <c r="S601" s="3"/>
      <c r="T601" s="3"/>
      <c r="U601" s="3"/>
      <c r="V601" s="3"/>
      <c r="W601" s="3"/>
      <c r="X601" s="3"/>
      <c r="Y601" s="3"/>
      <c r="Z601" s="3"/>
    </row>
    <row r="602">
      <c r="A602" s="3"/>
      <c r="B602" s="1"/>
      <c r="C602" s="1"/>
      <c r="D602" s="3"/>
      <c r="E602" s="5"/>
      <c r="F602" s="3"/>
      <c r="G602" s="3"/>
      <c r="H602" s="3"/>
      <c r="I602" s="3"/>
      <c r="J602" s="5"/>
      <c r="K602" s="3"/>
      <c r="L602" s="3"/>
      <c r="M602" s="3"/>
      <c r="N602" s="3"/>
      <c r="O602" s="3"/>
      <c r="P602" s="3"/>
      <c r="Q602" s="3"/>
      <c r="R602" s="3"/>
      <c r="S602" s="3"/>
      <c r="T602" s="3"/>
      <c r="U602" s="3"/>
      <c r="V602" s="3"/>
      <c r="W602" s="3"/>
      <c r="X602" s="3"/>
      <c r="Y602" s="3"/>
      <c r="Z602" s="3"/>
    </row>
    <row r="603">
      <c r="A603" s="3"/>
      <c r="B603" s="1"/>
      <c r="C603" s="1"/>
      <c r="D603" s="3"/>
      <c r="E603" s="5"/>
      <c r="F603" s="3"/>
      <c r="G603" s="3"/>
      <c r="H603" s="3"/>
      <c r="I603" s="3"/>
      <c r="J603" s="5"/>
      <c r="K603" s="3"/>
      <c r="L603" s="3"/>
      <c r="M603" s="3"/>
      <c r="N603" s="3"/>
      <c r="O603" s="3"/>
      <c r="P603" s="3"/>
      <c r="Q603" s="3"/>
      <c r="R603" s="3"/>
      <c r="S603" s="3"/>
      <c r="T603" s="3"/>
      <c r="U603" s="3"/>
      <c r="V603" s="3"/>
      <c r="W603" s="3"/>
      <c r="X603" s="3"/>
      <c r="Y603" s="3"/>
      <c r="Z603" s="3"/>
    </row>
    <row r="604">
      <c r="A604" s="3"/>
      <c r="B604" s="1"/>
      <c r="C604" s="1"/>
      <c r="D604" s="3"/>
      <c r="E604" s="5"/>
      <c r="F604" s="3"/>
      <c r="G604" s="3"/>
      <c r="H604" s="3"/>
      <c r="I604" s="3"/>
      <c r="J604" s="5"/>
      <c r="K604" s="3"/>
      <c r="L604" s="3"/>
      <c r="M604" s="3"/>
      <c r="N604" s="3"/>
      <c r="O604" s="3"/>
      <c r="P604" s="3"/>
      <c r="Q604" s="3"/>
      <c r="R604" s="3"/>
      <c r="S604" s="3"/>
      <c r="T604" s="3"/>
      <c r="U604" s="3"/>
      <c r="V604" s="3"/>
      <c r="W604" s="3"/>
      <c r="X604" s="3"/>
      <c r="Y604" s="3"/>
      <c r="Z604" s="3"/>
    </row>
    <row r="605">
      <c r="A605" s="3"/>
      <c r="B605" s="1"/>
      <c r="C605" s="1"/>
      <c r="D605" s="3"/>
      <c r="E605" s="5"/>
      <c r="F605" s="3"/>
      <c r="G605" s="3"/>
      <c r="H605" s="3"/>
      <c r="I605" s="3"/>
      <c r="J605" s="5"/>
      <c r="K605" s="3"/>
      <c r="L605" s="3"/>
      <c r="M605" s="3"/>
      <c r="N605" s="3"/>
      <c r="O605" s="3"/>
      <c r="P605" s="3"/>
      <c r="Q605" s="3"/>
      <c r="R605" s="3"/>
      <c r="S605" s="3"/>
      <c r="T605" s="3"/>
      <c r="U605" s="3"/>
      <c r="V605" s="3"/>
      <c r="W605" s="3"/>
      <c r="X605" s="3"/>
      <c r="Y605" s="3"/>
      <c r="Z605" s="3"/>
    </row>
    <row r="606">
      <c r="A606" s="3"/>
      <c r="B606" s="1"/>
      <c r="C606" s="1"/>
      <c r="D606" s="3"/>
      <c r="E606" s="5"/>
      <c r="F606" s="3"/>
      <c r="G606" s="3"/>
      <c r="H606" s="3"/>
      <c r="I606" s="3"/>
      <c r="J606" s="5"/>
      <c r="K606" s="3"/>
      <c r="L606" s="3"/>
      <c r="M606" s="3"/>
      <c r="N606" s="3"/>
      <c r="O606" s="3"/>
      <c r="P606" s="3"/>
      <c r="Q606" s="3"/>
      <c r="R606" s="3"/>
      <c r="S606" s="3"/>
      <c r="T606" s="3"/>
      <c r="U606" s="3"/>
      <c r="V606" s="3"/>
      <c r="W606" s="3"/>
      <c r="X606" s="3"/>
      <c r="Y606" s="3"/>
      <c r="Z606" s="3"/>
    </row>
    <row r="607">
      <c r="A607" s="3"/>
      <c r="B607" s="1"/>
      <c r="C607" s="1"/>
      <c r="D607" s="3"/>
      <c r="E607" s="5"/>
      <c r="F607" s="3"/>
      <c r="G607" s="3"/>
      <c r="H607" s="3"/>
      <c r="I607" s="3"/>
      <c r="J607" s="5"/>
      <c r="K607" s="3"/>
      <c r="L607" s="3"/>
      <c r="M607" s="3"/>
      <c r="N607" s="3"/>
      <c r="O607" s="3"/>
      <c r="P607" s="3"/>
      <c r="Q607" s="3"/>
      <c r="R607" s="3"/>
      <c r="S607" s="3"/>
      <c r="T607" s="3"/>
      <c r="U607" s="3"/>
      <c r="V607" s="3"/>
      <c r="W607" s="3"/>
      <c r="X607" s="3"/>
      <c r="Y607" s="3"/>
      <c r="Z607" s="3"/>
    </row>
    <row r="608">
      <c r="A608" s="3"/>
      <c r="B608" s="1"/>
      <c r="C608" s="1"/>
      <c r="D608" s="3"/>
      <c r="E608" s="5"/>
      <c r="F608" s="3"/>
      <c r="G608" s="3"/>
      <c r="H608" s="3"/>
      <c r="I608" s="3"/>
      <c r="J608" s="5"/>
      <c r="K608" s="3"/>
      <c r="L608" s="3"/>
      <c r="M608" s="3"/>
      <c r="N608" s="3"/>
      <c r="O608" s="3"/>
      <c r="P608" s="3"/>
      <c r="Q608" s="3"/>
      <c r="R608" s="3"/>
      <c r="S608" s="3"/>
      <c r="T608" s="3"/>
      <c r="U608" s="3"/>
      <c r="V608" s="3"/>
      <c r="W608" s="3"/>
      <c r="X608" s="3"/>
      <c r="Y608" s="3"/>
      <c r="Z608" s="3"/>
    </row>
    <row r="609">
      <c r="A609" s="3"/>
      <c r="B609" s="1"/>
      <c r="C609" s="1"/>
      <c r="D609" s="3"/>
      <c r="E609" s="5"/>
      <c r="F609" s="3"/>
      <c r="G609" s="3"/>
      <c r="H609" s="3"/>
      <c r="I609" s="3"/>
      <c r="J609" s="5"/>
      <c r="K609" s="3"/>
      <c r="L609" s="3"/>
      <c r="M609" s="3"/>
      <c r="N609" s="3"/>
      <c r="O609" s="3"/>
      <c r="P609" s="3"/>
      <c r="Q609" s="3"/>
      <c r="R609" s="3"/>
      <c r="S609" s="3"/>
      <c r="T609" s="3"/>
      <c r="U609" s="3"/>
      <c r="V609" s="3"/>
      <c r="W609" s="3"/>
      <c r="X609" s="3"/>
      <c r="Y609" s="3"/>
      <c r="Z609" s="3"/>
    </row>
    <row r="610">
      <c r="A610" s="3"/>
      <c r="B610" s="1"/>
      <c r="C610" s="1"/>
      <c r="D610" s="3"/>
      <c r="E610" s="5"/>
      <c r="F610" s="3"/>
      <c r="G610" s="3"/>
      <c r="H610" s="3"/>
      <c r="I610" s="3"/>
      <c r="J610" s="5"/>
      <c r="K610" s="3"/>
      <c r="L610" s="3"/>
      <c r="M610" s="3"/>
      <c r="N610" s="3"/>
      <c r="O610" s="3"/>
      <c r="P610" s="3"/>
      <c r="Q610" s="3"/>
      <c r="R610" s="3"/>
      <c r="S610" s="3"/>
      <c r="T610" s="3"/>
      <c r="U610" s="3"/>
      <c r="V610" s="3"/>
      <c r="W610" s="3"/>
      <c r="X610" s="3"/>
      <c r="Y610" s="3"/>
      <c r="Z610" s="3"/>
    </row>
    <row r="611">
      <c r="A611" s="3"/>
      <c r="B611" s="1"/>
      <c r="C611" s="1"/>
      <c r="D611" s="3"/>
      <c r="E611" s="5"/>
      <c r="F611" s="3"/>
      <c r="G611" s="3"/>
      <c r="H611" s="3"/>
      <c r="I611" s="3"/>
      <c r="J611" s="5"/>
      <c r="K611" s="3"/>
      <c r="L611" s="3"/>
      <c r="M611" s="3"/>
      <c r="N611" s="3"/>
      <c r="O611" s="3"/>
      <c r="P611" s="3"/>
      <c r="Q611" s="3"/>
      <c r="R611" s="3"/>
      <c r="S611" s="3"/>
      <c r="T611" s="3"/>
      <c r="U611" s="3"/>
      <c r="V611" s="3"/>
      <c r="W611" s="3"/>
      <c r="X611" s="3"/>
      <c r="Y611" s="3"/>
      <c r="Z611" s="3"/>
    </row>
    <row r="612">
      <c r="A612" s="3"/>
      <c r="B612" s="1"/>
      <c r="C612" s="1"/>
      <c r="D612" s="3"/>
      <c r="E612" s="5"/>
      <c r="F612" s="3"/>
      <c r="G612" s="3"/>
      <c r="H612" s="3"/>
      <c r="I612" s="3"/>
      <c r="J612" s="5"/>
      <c r="K612" s="3"/>
      <c r="L612" s="3"/>
      <c r="M612" s="3"/>
      <c r="N612" s="3"/>
      <c r="O612" s="3"/>
      <c r="P612" s="3"/>
      <c r="Q612" s="3"/>
      <c r="R612" s="3"/>
      <c r="S612" s="3"/>
      <c r="T612" s="3"/>
      <c r="U612" s="3"/>
      <c r="V612" s="3"/>
      <c r="W612" s="3"/>
      <c r="X612" s="3"/>
      <c r="Y612" s="3"/>
      <c r="Z612" s="3"/>
    </row>
    <row r="613">
      <c r="A613" s="3"/>
      <c r="B613" s="1"/>
      <c r="C613" s="1"/>
      <c r="D613" s="3"/>
      <c r="E613" s="5"/>
      <c r="F613" s="3"/>
      <c r="G613" s="3"/>
      <c r="H613" s="3"/>
      <c r="I613" s="3"/>
      <c r="J613" s="5"/>
      <c r="K613" s="3"/>
      <c r="L613" s="3"/>
      <c r="M613" s="3"/>
      <c r="N613" s="3"/>
      <c r="O613" s="3"/>
      <c r="P613" s="3"/>
      <c r="Q613" s="3"/>
      <c r="R613" s="3"/>
      <c r="S613" s="3"/>
      <c r="T613" s="3"/>
      <c r="U613" s="3"/>
      <c r="V613" s="3"/>
      <c r="W613" s="3"/>
      <c r="X613" s="3"/>
      <c r="Y613" s="3"/>
      <c r="Z613" s="3"/>
    </row>
    <row r="614">
      <c r="A614" s="3"/>
      <c r="B614" s="1"/>
      <c r="C614" s="1"/>
      <c r="D614" s="3"/>
      <c r="E614" s="5"/>
      <c r="F614" s="3"/>
      <c r="G614" s="3"/>
      <c r="H614" s="3"/>
      <c r="I614" s="3"/>
      <c r="J614" s="5"/>
      <c r="K614" s="3"/>
      <c r="L614" s="3"/>
      <c r="M614" s="3"/>
      <c r="N614" s="3"/>
      <c r="O614" s="3"/>
      <c r="P614" s="3"/>
      <c r="Q614" s="3"/>
      <c r="R614" s="3"/>
      <c r="S614" s="3"/>
      <c r="T614" s="3"/>
      <c r="U614" s="3"/>
      <c r="V614" s="3"/>
      <c r="W614" s="3"/>
      <c r="X614" s="3"/>
      <c r="Y614" s="3"/>
      <c r="Z614" s="3"/>
    </row>
    <row r="615">
      <c r="A615" s="3"/>
      <c r="B615" s="1"/>
      <c r="C615" s="1"/>
      <c r="D615" s="3"/>
      <c r="E615" s="5"/>
      <c r="F615" s="3"/>
      <c r="G615" s="3"/>
      <c r="H615" s="3"/>
      <c r="I615" s="3"/>
      <c r="J615" s="5"/>
      <c r="K615" s="3"/>
      <c r="L615" s="3"/>
      <c r="M615" s="3"/>
      <c r="N615" s="3"/>
      <c r="O615" s="3"/>
      <c r="P615" s="3"/>
      <c r="Q615" s="3"/>
      <c r="R615" s="3"/>
      <c r="S615" s="3"/>
      <c r="T615" s="3"/>
      <c r="U615" s="3"/>
      <c r="V615" s="3"/>
      <c r="W615" s="3"/>
      <c r="X615" s="3"/>
      <c r="Y615" s="3"/>
      <c r="Z615" s="3"/>
    </row>
    <row r="616">
      <c r="A616" s="3"/>
      <c r="B616" s="1"/>
      <c r="C616" s="1"/>
      <c r="D616" s="3"/>
      <c r="E616" s="5"/>
      <c r="F616" s="3"/>
      <c r="G616" s="3"/>
      <c r="H616" s="3"/>
      <c r="I616" s="3"/>
      <c r="J616" s="5"/>
      <c r="K616" s="3"/>
      <c r="L616" s="3"/>
      <c r="M616" s="3"/>
      <c r="N616" s="3"/>
      <c r="O616" s="3"/>
      <c r="P616" s="3"/>
      <c r="Q616" s="3"/>
      <c r="R616" s="3"/>
      <c r="S616" s="3"/>
      <c r="T616" s="3"/>
      <c r="U616" s="3"/>
      <c r="V616" s="3"/>
      <c r="W616" s="3"/>
      <c r="X616" s="3"/>
      <c r="Y616" s="3"/>
      <c r="Z616" s="3"/>
    </row>
    <row r="617">
      <c r="A617" s="3"/>
      <c r="B617" s="1"/>
      <c r="C617" s="1"/>
      <c r="D617" s="3"/>
      <c r="E617" s="5"/>
      <c r="F617" s="3"/>
      <c r="G617" s="3"/>
      <c r="H617" s="3"/>
      <c r="I617" s="3"/>
      <c r="J617" s="5"/>
      <c r="K617" s="3"/>
      <c r="L617" s="3"/>
      <c r="M617" s="3"/>
      <c r="N617" s="3"/>
      <c r="O617" s="3"/>
      <c r="P617" s="3"/>
      <c r="Q617" s="3"/>
      <c r="R617" s="3"/>
      <c r="S617" s="3"/>
      <c r="T617" s="3"/>
      <c r="U617" s="3"/>
      <c r="V617" s="3"/>
      <c r="W617" s="3"/>
      <c r="X617" s="3"/>
      <c r="Y617" s="3"/>
      <c r="Z617" s="3"/>
    </row>
    <row r="618">
      <c r="A618" s="3"/>
      <c r="B618" s="1"/>
      <c r="C618" s="1"/>
      <c r="D618" s="3"/>
      <c r="E618" s="5"/>
      <c r="F618" s="3"/>
      <c r="G618" s="3"/>
      <c r="H618" s="3"/>
      <c r="I618" s="3"/>
      <c r="J618" s="5"/>
      <c r="K618" s="3"/>
      <c r="L618" s="3"/>
      <c r="M618" s="3"/>
      <c r="N618" s="3"/>
      <c r="O618" s="3"/>
      <c r="P618" s="3"/>
      <c r="Q618" s="3"/>
      <c r="R618" s="3"/>
      <c r="S618" s="3"/>
      <c r="T618" s="3"/>
      <c r="U618" s="3"/>
      <c r="V618" s="3"/>
      <c r="W618" s="3"/>
      <c r="X618" s="3"/>
      <c r="Y618" s="3"/>
      <c r="Z618" s="3"/>
    </row>
    <row r="619">
      <c r="A619" s="3"/>
      <c r="B619" s="1"/>
      <c r="C619" s="1"/>
      <c r="D619" s="3"/>
      <c r="E619" s="5"/>
      <c r="F619" s="3"/>
      <c r="G619" s="3"/>
      <c r="H619" s="3"/>
      <c r="I619" s="3"/>
      <c r="J619" s="5"/>
      <c r="K619" s="3"/>
      <c r="L619" s="3"/>
      <c r="M619" s="3"/>
      <c r="N619" s="3"/>
      <c r="O619" s="3"/>
      <c r="P619" s="3"/>
      <c r="Q619" s="3"/>
      <c r="R619" s="3"/>
      <c r="S619" s="3"/>
      <c r="T619" s="3"/>
      <c r="U619" s="3"/>
      <c r="V619" s="3"/>
      <c r="W619" s="3"/>
      <c r="X619" s="3"/>
      <c r="Y619" s="3"/>
      <c r="Z619" s="3"/>
    </row>
    <row r="620">
      <c r="A620" s="3"/>
      <c r="B620" s="1"/>
      <c r="C620" s="1"/>
      <c r="D620" s="3"/>
      <c r="E620" s="5"/>
      <c r="F620" s="3"/>
      <c r="G620" s="3"/>
      <c r="H620" s="3"/>
      <c r="I620" s="3"/>
      <c r="J620" s="5"/>
      <c r="K620" s="3"/>
      <c r="L620" s="3"/>
      <c r="M620" s="3"/>
      <c r="N620" s="3"/>
      <c r="O620" s="3"/>
      <c r="P620" s="3"/>
      <c r="Q620" s="3"/>
      <c r="R620" s="3"/>
      <c r="S620" s="3"/>
      <c r="T620" s="3"/>
      <c r="U620" s="3"/>
      <c r="V620" s="3"/>
      <c r="W620" s="3"/>
      <c r="X620" s="3"/>
      <c r="Y620" s="3"/>
      <c r="Z620" s="3"/>
    </row>
    <row r="621">
      <c r="A621" s="3"/>
      <c r="B621" s="1"/>
      <c r="C621" s="1"/>
      <c r="D621" s="3"/>
      <c r="E621" s="5"/>
      <c r="F621" s="3"/>
      <c r="G621" s="3"/>
      <c r="H621" s="3"/>
      <c r="I621" s="3"/>
      <c r="J621" s="5"/>
      <c r="K621" s="3"/>
      <c r="L621" s="3"/>
      <c r="M621" s="3"/>
      <c r="N621" s="3"/>
      <c r="O621" s="3"/>
      <c r="P621" s="3"/>
      <c r="Q621" s="3"/>
      <c r="R621" s="3"/>
      <c r="S621" s="3"/>
      <c r="T621" s="3"/>
      <c r="U621" s="3"/>
      <c r="V621" s="3"/>
      <c r="W621" s="3"/>
      <c r="X621" s="3"/>
      <c r="Y621" s="3"/>
      <c r="Z621" s="3"/>
    </row>
    <row r="622">
      <c r="A622" s="3"/>
      <c r="B622" s="1"/>
      <c r="C622" s="1"/>
      <c r="D622" s="3"/>
      <c r="E622" s="5"/>
      <c r="F622" s="3"/>
      <c r="G622" s="3"/>
      <c r="H622" s="3"/>
      <c r="I622" s="3"/>
      <c r="J622" s="5"/>
      <c r="K622" s="3"/>
      <c r="L622" s="3"/>
      <c r="M622" s="3"/>
      <c r="N622" s="3"/>
      <c r="O622" s="3"/>
      <c r="P622" s="3"/>
      <c r="Q622" s="3"/>
      <c r="R622" s="3"/>
      <c r="S622" s="3"/>
      <c r="T622" s="3"/>
      <c r="U622" s="3"/>
      <c r="V622" s="3"/>
      <c r="W622" s="3"/>
      <c r="X622" s="3"/>
      <c r="Y622" s="3"/>
      <c r="Z622" s="3"/>
    </row>
    <row r="623">
      <c r="A623" s="3"/>
      <c r="B623" s="1"/>
      <c r="C623" s="1"/>
      <c r="D623" s="3"/>
      <c r="E623" s="5"/>
      <c r="F623" s="3"/>
      <c r="G623" s="3"/>
      <c r="H623" s="3"/>
      <c r="I623" s="3"/>
      <c r="J623" s="5"/>
      <c r="K623" s="3"/>
      <c r="L623" s="3"/>
      <c r="M623" s="3"/>
      <c r="N623" s="3"/>
      <c r="O623" s="3"/>
      <c r="P623" s="3"/>
      <c r="Q623" s="3"/>
      <c r="R623" s="3"/>
      <c r="S623" s="3"/>
      <c r="T623" s="3"/>
      <c r="U623" s="3"/>
      <c r="V623" s="3"/>
      <c r="W623" s="3"/>
      <c r="X623" s="3"/>
      <c r="Y623" s="3"/>
      <c r="Z623" s="3"/>
    </row>
    <row r="624">
      <c r="A624" s="3"/>
      <c r="B624" s="1"/>
      <c r="C624" s="1"/>
      <c r="D624" s="3"/>
      <c r="E624" s="5"/>
      <c r="F624" s="3"/>
      <c r="G624" s="3"/>
      <c r="H624" s="3"/>
      <c r="I624" s="3"/>
      <c r="J624" s="5"/>
      <c r="K624" s="3"/>
      <c r="L624" s="3"/>
      <c r="M624" s="3"/>
      <c r="N624" s="3"/>
      <c r="O624" s="3"/>
      <c r="P624" s="3"/>
      <c r="Q624" s="3"/>
      <c r="R624" s="3"/>
      <c r="S624" s="3"/>
      <c r="T624" s="3"/>
      <c r="U624" s="3"/>
      <c r="V624" s="3"/>
      <c r="W624" s="3"/>
      <c r="X624" s="3"/>
      <c r="Y624" s="3"/>
      <c r="Z624" s="3"/>
    </row>
    <row r="625">
      <c r="A625" s="3"/>
      <c r="B625" s="1"/>
      <c r="C625" s="1"/>
      <c r="D625" s="3"/>
      <c r="E625" s="5"/>
      <c r="F625" s="3"/>
      <c r="G625" s="3"/>
      <c r="H625" s="3"/>
      <c r="I625" s="3"/>
      <c r="J625" s="5"/>
      <c r="K625" s="3"/>
      <c r="L625" s="3"/>
      <c r="M625" s="3"/>
      <c r="N625" s="3"/>
      <c r="O625" s="3"/>
      <c r="P625" s="3"/>
      <c r="Q625" s="3"/>
      <c r="R625" s="3"/>
      <c r="S625" s="3"/>
      <c r="T625" s="3"/>
      <c r="U625" s="3"/>
      <c r="V625" s="3"/>
      <c r="W625" s="3"/>
      <c r="X625" s="3"/>
      <c r="Y625" s="3"/>
      <c r="Z625" s="3"/>
    </row>
    <row r="626">
      <c r="A626" s="3"/>
      <c r="B626" s="1"/>
      <c r="C626" s="1"/>
      <c r="D626" s="3"/>
      <c r="E626" s="5"/>
      <c r="F626" s="3"/>
      <c r="G626" s="3"/>
      <c r="H626" s="3"/>
      <c r="I626" s="3"/>
      <c r="J626" s="5"/>
      <c r="K626" s="3"/>
      <c r="L626" s="3"/>
      <c r="M626" s="3"/>
      <c r="N626" s="3"/>
      <c r="O626" s="3"/>
      <c r="P626" s="3"/>
      <c r="Q626" s="3"/>
      <c r="R626" s="3"/>
      <c r="S626" s="3"/>
      <c r="T626" s="3"/>
      <c r="U626" s="3"/>
      <c r="V626" s="3"/>
      <c r="W626" s="3"/>
      <c r="X626" s="3"/>
      <c r="Y626" s="3"/>
      <c r="Z626" s="3"/>
    </row>
    <row r="627">
      <c r="A627" s="3"/>
      <c r="B627" s="1"/>
      <c r="C627" s="1"/>
      <c r="D627" s="3"/>
      <c r="E627" s="5"/>
      <c r="F627" s="3"/>
      <c r="G627" s="3"/>
      <c r="H627" s="3"/>
      <c r="I627" s="3"/>
      <c r="J627" s="5"/>
      <c r="K627" s="3"/>
      <c r="L627" s="3"/>
      <c r="M627" s="3"/>
      <c r="N627" s="3"/>
      <c r="O627" s="3"/>
      <c r="P627" s="3"/>
      <c r="Q627" s="3"/>
      <c r="R627" s="3"/>
      <c r="S627" s="3"/>
      <c r="T627" s="3"/>
      <c r="U627" s="3"/>
      <c r="V627" s="3"/>
      <c r="W627" s="3"/>
      <c r="X627" s="3"/>
      <c r="Y627" s="3"/>
      <c r="Z627" s="3"/>
    </row>
    <row r="628">
      <c r="A628" s="3"/>
      <c r="B628" s="1"/>
      <c r="C628" s="1"/>
      <c r="D628" s="3"/>
      <c r="E628" s="5"/>
      <c r="F628" s="3"/>
      <c r="G628" s="3"/>
      <c r="H628" s="3"/>
      <c r="I628" s="3"/>
      <c r="J628" s="5"/>
      <c r="K628" s="3"/>
      <c r="L628" s="3"/>
      <c r="M628" s="3"/>
      <c r="N628" s="3"/>
      <c r="O628" s="3"/>
      <c r="P628" s="3"/>
      <c r="Q628" s="3"/>
      <c r="R628" s="3"/>
      <c r="S628" s="3"/>
      <c r="T628" s="3"/>
      <c r="U628" s="3"/>
      <c r="V628" s="3"/>
      <c r="W628" s="3"/>
      <c r="X628" s="3"/>
      <c r="Y628" s="3"/>
      <c r="Z628" s="3"/>
    </row>
    <row r="629">
      <c r="A629" s="3"/>
      <c r="B629" s="1"/>
      <c r="C629" s="1"/>
      <c r="D629" s="3"/>
      <c r="E629" s="5"/>
      <c r="F629" s="3"/>
      <c r="G629" s="3"/>
      <c r="H629" s="3"/>
      <c r="I629" s="3"/>
      <c r="J629" s="5"/>
      <c r="K629" s="3"/>
      <c r="L629" s="3"/>
      <c r="M629" s="3"/>
      <c r="N629" s="3"/>
      <c r="O629" s="3"/>
      <c r="P629" s="3"/>
      <c r="Q629" s="3"/>
      <c r="R629" s="3"/>
      <c r="S629" s="3"/>
      <c r="T629" s="3"/>
      <c r="U629" s="3"/>
      <c r="V629" s="3"/>
      <c r="W629" s="3"/>
      <c r="X629" s="3"/>
      <c r="Y629" s="3"/>
      <c r="Z629" s="3"/>
    </row>
    <row r="630">
      <c r="A630" s="3"/>
      <c r="B630" s="1"/>
      <c r="C630" s="1"/>
      <c r="D630" s="3"/>
      <c r="E630" s="5"/>
      <c r="F630" s="3"/>
      <c r="G630" s="3"/>
      <c r="H630" s="3"/>
      <c r="I630" s="3"/>
      <c r="J630" s="5"/>
      <c r="K630" s="3"/>
      <c r="L630" s="3"/>
      <c r="M630" s="3"/>
      <c r="N630" s="3"/>
      <c r="O630" s="3"/>
      <c r="P630" s="3"/>
      <c r="Q630" s="3"/>
      <c r="R630" s="3"/>
      <c r="S630" s="3"/>
      <c r="T630" s="3"/>
      <c r="U630" s="3"/>
      <c r="V630" s="3"/>
      <c r="W630" s="3"/>
      <c r="X630" s="3"/>
      <c r="Y630" s="3"/>
      <c r="Z630" s="3"/>
    </row>
    <row r="631">
      <c r="A631" s="3"/>
      <c r="B631" s="1"/>
      <c r="C631" s="1"/>
      <c r="D631" s="3"/>
      <c r="E631" s="5"/>
      <c r="F631" s="3"/>
      <c r="G631" s="3"/>
      <c r="H631" s="3"/>
      <c r="I631" s="3"/>
      <c r="J631" s="5"/>
      <c r="K631" s="3"/>
      <c r="L631" s="3"/>
      <c r="M631" s="3"/>
      <c r="N631" s="3"/>
      <c r="O631" s="3"/>
      <c r="P631" s="3"/>
      <c r="Q631" s="3"/>
      <c r="R631" s="3"/>
      <c r="S631" s="3"/>
      <c r="T631" s="3"/>
      <c r="U631" s="3"/>
      <c r="V631" s="3"/>
      <c r="W631" s="3"/>
      <c r="X631" s="3"/>
      <c r="Y631" s="3"/>
      <c r="Z631" s="3"/>
    </row>
    <row r="632">
      <c r="A632" s="3"/>
      <c r="B632" s="1"/>
      <c r="C632" s="1"/>
      <c r="D632" s="3"/>
      <c r="E632" s="5"/>
      <c r="F632" s="3"/>
      <c r="G632" s="3"/>
      <c r="H632" s="3"/>
      <c r="I632" s="3"/>
      <c r="J632" s="5"/>
      <c r="K632" s="3"/>
      <c r="L632" s="3"/>
      <c r="M632" s="3"/>
      <c r="N632" s="3"/>
      <c r="O632" s="3"/>
      <c r="P632" s="3"/>
      <c r="Q632" s="3"/>
      <c r="R632" s="3"/>
      <c r="S632" s="3"/>
      <c r="T632" s="3"/>
      <c r="U632" s="3"/>
      <c r="V632" s="3"/>
      <c r="W632" s="3"/>
      <c r="X632" s="3"/>
      <c r="Y632" s="3"/>
      <c r="Z632" s="3"/>
    </row>
    <row r="633">
      <c r="A633" s="3"/>
      <c r="B633" s="1"/>
      <c r="C633" s="1"/>
      <c r="D633" s="3"/>
      <c r="E633" s="5"/>
      <c r="F633" s="3"/>
      <c r="G633" s="3"/>
      <c r="H633" s="3"/>
      <c r="I633" s="3"/>
      <c r="J633" s="5"/>
      <c r="K633" s="3"/>
      <c r="L633" s="3"/>
      <c r="M633" s="3"/>
      <c r="N633" s="3"/>
      <c r="O633" s="3"/>
      <c r="P633" s="3"/>
      <c r="Q633" s="3"/>
      <c r="R633" s="3"/>
      <c r="S633" s="3"/>
      <c r="T633" s="3"/>
      <c r="U633" s="3"/>
      <c r="V633" s="3"/>
      <c r="W633" s="3"/>
      <c r="X633" s="3"/>
      <c r="Y633" s="3"/>
      <c r="Z633" s="3"/>
    </row>
    <row r="634">
      <c r="A634" s="3"/>
      <c r="B634" s="1"/>
      <c r="C634" s="1"/>
      <c r="D634" s="3"/>
      <c r="E634" s="5"/>
      <c r="F634" s="3"/>
      <c r="G634" s="3"/>
      <c r="H634" s="3"/>
      <c r="I634" s="3"/>
      <c r="J634" s="5"/>
      <c r="K634" s="3"/>
      <c r="L634" s="3"/>
      <c r="M634" s="3"/>
      <c r="N634" s="3"/>
      <c r="O634" s="3"/>
      <c r="P634" s="3"/>
      <c r="Q634" s="3"/>
      <c r="R634" s="3"/>
      <c r="S634" s="3"/>
      <c r="T634" s="3"/>
      <c r="U634" s="3"/>
      <c r="V634" s="3"/>
      <c r="W634" s="3"/>
      <c r="X634" s="3"/>
      <c r="Y634" s="3"/>
      <c r="Z634" s="3"/>
    </row>
    <row r="635">
      <c r="A635" s="3"/>
      <c r="B635" s="1"/>
      <c r="C635" s="1"/>
      <c r="D635" s="3"/>
      <c r="E635" s="5"/>
      <c r="F635" s="3"/>
      <c r="G635" s="3"/>
      <c r="H635" s="3"/>
      <c r="I635" s="3"/>
      <c r="J635" s="5"/>
      <c r="K635" s="3"/>
      <c r="L635" s="3"/>
      <c r="M635" s="3"/>
      <c r="N635" s="3"/>
      <c r="O635" s="3"/>
      <c r="P635" s="3"/>
      <c r="Q635" s="3"/>
      <c r="R635" s="3"/>
      <c r="S635" s="3"/>
      <c r="T635" s="3"/>
      <c r="U635" s="3"/>
      <c r="V635" s="3"/>
      <c r="W635" s="3"/>
      <c r="X635" s="3"/>
      <c r="Y635" s="3"/>
      <c r="Z635" s="3"/>
    </row>
    <row r="636">
      <c r="A636" s="3"/>
      <c r="B636" s="1"/>
      <c r="C636" s="1"/>
      <c r="D636" s="3"/>
      <c r="E636" s="5"/>
      <c r="F636" s="3"/>
      <c r="G636" s="3"/>
      <c r="H636" s="3"/>
      <c r="I636" s="3"/>
      <c r="J636" s="5"/>
      <c r="K636" s="3"/>
      <c r="L636" s="3"/>
      <c r="M636" s="3"/>
      <c r="N636" s="3"/>
      <c r="O636" s="3"/>
      <c r="P636" s="3"/>
      <c r="Q636" s="3"/>
      <c r="R636" s="3"/>
      <c r="S636" s="3"/>
      <c r="T636" s="3"/>
      <c r="U636" s="3"/>
      <c r="V636" s="3"/>
      <c r="W636" s="3"/>
      <c r="X636" s="3"/>
      <c r="Y636" s="3"/>
      <c r="Z636" s="3"/>
    </row>
    <row r="637">
      <c r="A637" s="3"/>
      <c r="B637" s="1"/>
      <c r="C637" s="1"/>
      <c r="D637" s="3"/>
      <c r="E637" s="5"/>
      <c r="F637" s="3"/>
      <c r="G637" s="3"/>
      <c r="H637" s="3"/>
      <c r="I637" s="3"/>
      <c r="J637" s="5"/>
      <c r="K637" s="3"/>
      <c r="L637" s="3"/>
      <c r="M637" s="3"/>
      <c r="N637" s="3"/>
      <c r="O637" s="3"/>
      <c r="P637" s="3"/>
      <c r="Q637" s="3"/>
      <c r="R637" s="3"/>
      <c r="S637" s="3"/>
      <c r="T637" s="3"/>
      <c r="U637" s="3"/>
      <c r="V637" s="3"/>
      <c r="W637" s="3"/>
      <c r="X637" s="3"/>
      <c r="Y637" s="3"/>
      <c r="Z637" s="3"/>
    </row>
    <row r="638">
      <c r="A638" s="3"/>
      <c r="B638" s="1"/>
      <c r="C638" s="1"/>
      <c r="D638" s="3"/>
      <c r="E638" s="5"/>
      <c r="F638" s="3"/>
      <c r="G638" s="3"/>
      <c r="H638" s="3"/>
      <c r="I638" s="3"/>
      <c r="J638" s="5"/>
      <c r="K638" s="3"/>
      <c r="L638" s="3"/>
      <c r="M638" s="3"/>
      <c r="N638" s="3"/>
      <c r="O638" s="3"/>
      <c r="P638" s="3"/>
      <c r="Q638" s="3"/>
      <c r="R638" s="3"/>
      <c r="S638" s="3"/>
      <c r="T638" s="3"/>
      <c r="U638" s="3"/>
      <c r="V638" s="3"/>
      <c r="W638" s="3"/>
      <c r="X638" s="3"/>
      <c r="Y638" s="3"/>
      <c r="Z638" s="3"/>
    </row>
    <row r="639">
      <c r="A639" s="3"/>
      <c r="B639" s="1"/>
      <c r="C639" s="1"/>
      <c r="D639" s="3"/>
      <c r="E639" s="5"/>
      <c r="F639" s="3"/>
      <c r="G639" s="3"/>
      <c r="H639" s="3"/>
      <c r="I639" s="3"/>
      <c r="J639" s="5"/>
      <c r="K639" s="3"/>
      <c r="L639" s="3"/>
      <c r="M639" s="3"/>
      <c r="N639" s="3"/>
      <c r="O639" s="3"/>
      <c r="P639" s="3"/>
      <c r="Q639" s="3"/>
      <c r="R639" s="3"/>
      <c r="S639" s="3"/>
      <c r="T639" s="3"/>
      <c r="U639" s="3"/>
      <c r="V639" s="3"/>
      <c r="W639" s="3"/>
      <c r="X639" s="3"/>
      <c r="Y639" s="3"/>
      <c r="Z639" s="3"/>
    </row>
    <row r="640">
      <c r="A640" s="3"/>
      <c r="B640" s="1"/>
      <c r="C640" s="1"/>
      <c r="D640" s="3"/>
      <c r="E640" s="5"/>
      <c r="F640" s="3"/>
      <c r="G640" s="3"/>
      <c r="H640" s="3"/>
      <c r="I640" s="3"/>
      <c r="J640" s="5"/>
      <c r="K640" s="3"/>
      <c r="L640" s="3"/>
      <c r="M640" s="3"/>
      <c r="N640" s="3"/>
      <c r="O640" s="3"/>
      <c r="P640" s="3"/>
      <c r="Q640" s="3"/>
      <c r="R640" s="3"/>
      <c r="S640" s="3"/>
      <c r="T640" s="3"/>
      <c r="U640" s="3"/>
      <c r="V640" s="3"/>
      <c r="W640" s="3"/>
      <c r="X640" s="3"/>
      <c r="Y640" s="3"/>
      <c r="Z640" s="3"/>
    </row>
    <row r="641">
      <c r="A641" s="3"/>
      <c r="B641" s="1"/>
      <c r="C641" s="1"/>
      <c r="D641" s="3"/>
      <c r="E641" s="5"/>
      <c r="F641" s="3"/>
      <c r="G641" s="3"/>
      <c r="H641" s="3"/>
      <c r="I641" s="3"/>
      <c r="J641" s="5"/>
      <c r="K641" s="3"/>
      <c r="L641" s="3"/>
      <c r="M641" s="3"/>
      <c r="N641" s="3"/>
      <c r="O641" s="3"/>
      <c r="P641" s="3"/>
      <c r="Q641" s="3"/>
      <c r="R641" s="3"/>
      <c r="S641" s="3"/>
      <c r="T641" s="3"/>
      <c r="U641" s="3"/>
      <c r="V641" s="3"/>
      <c r="W641" s="3"/>
      <c r="X641" s="3"/>
      <c r="Y641" s="3"/>
      <c r="Z641" s="3"/>
    </row>
    <row r="642">
      <c r="A642" s="3"/>
      <c r="B642" s="1"/>
      <c r="C642" s="1"/>
      <c r="D642" s="3"/>
      <c r="E642" s="5"/>
      <c r="F642" s="3"/>
      <c r="G642" s="3"/>
      <c r="H642" s="3"/>
      <c r="I642" s="3"/>
      <c r="J642" s="5"/>
      <c r="K642" s="3"/>
      <c r="L642" s="3"/>
      <c r="M642" s="3"/>
      <c r="N642" s="3"/>
      <c r="O642" s="3"/>
      <c r="P642" s="3"/>
      <c r="Q642" s="3"/>
      <c r="R642" s="3"/>
      <c r="S642" s="3"/>
      <c r="T642" s="3"/>
      <c r="U642" s="3"/>
      <c r="V642" s="3"/>
      <c r="W642" s="3"/>
      <c r="X642" s="3"/>
      <c r="Y642" s="3"/>
      <c r="Z642" s="3"/>
    </row>
    <row r="643">
      <c r="A643" s="3"/>
      <c r="B643" s="1"/>
      <c r="C643" s="1"/>
      <c r="D643" s="3"/>
      <c r="E643" s="5"/>
      <c r="F643" s="3"/>
      <c r="G643" s="3"/>
      <c r="H643" s="3"/>
      <c r="I643" s="3"/>
      <c r="J643" s="5"/>
      <c r="K643" s="3"/>
      <c r="L643" s="3"/>
      <c r="M643" s="3"/>
      <c r="N643" s="3"/>
      <c r="O643" s="3"/>
      <c r="P643" s="3"/>
      <c r="Q643" s="3"/>
      <c r="R643" s="3"/>
      <c r="S643" s="3"/>
      <c r="T643" s="3"/>
      <c r="U643" s="3"/>
      <c r="V643" s="3"/>
      <c r="W643" s="3"/>
      <c r="X643" s="3"/>
      <c r="Y643" s="3"/>
      <c r="Z643" s="3"/>
    </row>
    <row r="644">
      <c r="A644" s="3"/>
      <c r="B644" s="1"/>
      <c r="C644" s="1"/>
      <c r="D644" s="3"/>
      <c r="E644" s="5"/>
      <c r="F644" s="3"/>
      <c r="G644" s="3"/>
      <c r="H644" s="3"/>
      <c r="I644" s="3"/>
      <c r="J644" s="5"/>
      <c r="K644" s="3"/>
      <c r="L644" s="3"/>
      <c r="M644" s="3"/>
      <c r="N644" s="3"/>
      <c r="O644" s="3"/>
      <c r="P644" s="3"/>
      <c r="Q644" s="3"/>
      <c r="R644" s="3"/>
      <c r="S644" s="3"/>
      <c r="T644" s="3"/>
      <c r="U644" s="3"/>
      <c r="V644" s="3"/>
      <c r="W644" s="3"/>
      <c r="X644" s="3"/>
      <c r="Y644" s="3"/>
      <c r="Z644" s="3"/>
    </row>
    <row r="645">
      <c r="A645" s="3"/>
      <c r="B645" s="1"/>
      <c r="C645" s="1"/>
      <c r="D645" s="3"/>
      <c r="E645" s="5"/>
      <c r="F645" s="3"/>
      <c r="G645" s="3"/>
      <c r="H645" s="3"/>
      <c r="I645" s="3"/>
      <c r="J645" s="5"/>
      <c r="K645" s="3"/>
      <c r="L645" s="3"/>
      <c r="M645" s="3"/>
      <c r="N645" s="3"/>
      <c r="O645" s="3"/>
      <c r="P645" s="3"/>
      <c r="Q645" s="3"/>
      <c r="R645" s="3"/>
      <c r="S645" s="3"/>
      <c r="T645" s="3"/>
      <c r="U645" s="3"/>
      <c r="V645" s="3"/>
      <c r="W645" s="3"/>
      <c r="X645" s="3"/>
      <c r="Y645" s="3"/>
      <c r="Z645" s="3"/>
    </row>
    <row r="646">
      <c r="A646" s="3"/>
      <c r="B646" s="1"/>
      <c r="C646" s="1"/>
      <c r="D646" s="3"/>
      <c r="E646" s="5"/>
      <c r="F646" s="3"/>
      <c r="G646" s="3"/>
      <c r="H646" s="3"/>
      <c r="I646" s="3"/>
      <c r="J646" s="5"/>
      <c r="K646" s="3"/>
      <c r="L646" s="3"/>
      <c r="M646" s="3"/>
      <c r="N646" s="3"/>
      <c r="O646" s="3"/>
      <c r="P646" s="3"/>
      <c r="Q646" s="3"/>
      <c r="R646" s="3"/>
      <c r="S646" s="3"/>
      <c r="T646" s="3"/>
      <c r="U646" s="3"/>
      <c r="V646" s="3"/>
      <c r="W646" s="3"/>
      <c r="X646" s="3"/>
      <c r="Y646" s="3"/>
      <c r="Z646" s="3"/>
    </row>
    <row r="647">
      <c r="A647" s="3"/>
      <c r="B647" s="1"/>
      <c r="C647" s="1"/>
      <c r="D647" s="3"/>
      <c r="E647" s="5"/>
      <c r="F647" s="3"/>
      <c r="G647" s="3"/>
      <c r="H647" s="3"/>
      <c r="I647" s="3"/>
      <c r="J647" s="5"/>
      <c r="K647" s="3"/>
      <c r="L647" s="3"/>
      <c r="M647" s="3"/>
      <c r="N647" s="3"/>
      <c r="O647" s="3"/>
      <c r="P647" s="3"/>
      <c r="Q647" s="3"/>
      <c r="R647" s="3"/>
      <c r="S647" s="3"/>
      <c r="T647" s="3"/>
      <c r="U647" s="3"/>
      <c r="V647" s="3"/>
      <c r="W647" s="3"/>
      <c r="X647" s="3"/>
      <c r="Y647" s="3"/>
      <c r="Z647" s="3"/>
    </row>
    <row r="648">
      <c r="A648" s="3"/>
      <c r="B648" s="1"/>
      <c r="C648" s="1"/>
      <c r="D648" s="3"/>
      <c r="E648" s="5"/>
      <c r="F648" s="3"/>
      <c r="G648" s="3"/>
      <c r="H648" s="3"/>
      <c r="I648" s="3"/>
      <c r="J648" s="5"/>
      <c r="K648" s="3"/>
      <c r="L648" s="3"/>
      <c r="M648" s="3"/>
      <c r="N648" s="3"/>
      <c r="O648" s="3"/>
      <c r="P648" s="3"/>
      <c r="Q648" s="3"/>
      <c r="R648" s="3"/>
      <c r="S648" s="3"/>
      <c r="T648" s="3"/>
      <c r="U648" s="3"/>
      <c r="V648" s="3"/>
      <c r="W648" s="3"/>
      <c r="X648" s="3"/>
      <c r="Y648" s="3"/>
      <c r="Z648" s="3"/>
    </row>
    <row r="649">
      <c r="A649" s="3"/>
      <c r="B649" s="1"/>
      <c r="C649" s="1"/>
      <c r="D649" s="3"/>
      <c r="E649" s="5"/>
      <c r="F649" s="3"/>
      <c r="G649" s="3"/>
      <c r="H649" s="3"/>
      <c r="I649" s="3"/>
      <c r="J649" s="5"/>
      <c r="K649" s="3"/>
      <c r="L649" s="3"/>
      <c r="M649" s="3"/>
      <c r="N649" s="3"/>
      <c r="O649" s="3"/>
      <c r="P649" s="3"/>
      <c r="Q649" s="3"/>
      <c r="R649" s="3"/>
      <c r="S649" s="3"/>
      <c r="T649" s="3"/>
      <c r="U649" s="3"/>
      <c r="V649" s="3"/>
      <c r="W649" s="3"/>
      <c r="X649" s="3"/>
      <c r="Y649" s="3"/>
      <c r="Z649" s="3"/>
    </row>
    <row r="650">
      <c r="A650" s="3"/>
      <c r="B650" s="1"/>
      <c r="C650" s="1"/>
      <c r="D650" s="3"/>
      <c r="E650" s="5"/>
      <c r="F650" s="3"/>
      <c r="G650" s="3"/>
      <c r="H650" s="3"/>
      <c r="I650" s="3"/>
      <c r="J650" s="5"/>
      <c r="K650" s="3"/>
      <c r="L650" s="3"/>
      <c r="M650" s="3"/>
      <c r="N650" s="3"/>
      <c r="O650" s="3"/>
      <c r="P650" s="3"/>
      <c r="Q650" s="3"/>
      <c r="R650" s="3"/>
      <c r="S650" s="3"/>
      <c r="T650" s="3"/>
      <c r="U650" s="3"/>
      <c r="V650" s="3"/>
      <c r="W650" s="3"/>
      <c r="X650" s="3"/>
      <c r="Y650" s="3"/>
      <c r="Z650" s="3"/>
    </row>
    <row r="651">
      <c r="A651" s="3"/>
      <c r="B651" s="1"/>
      <c r="C651" s="1"/>
      <c r="D651" s="3"/>
      <c r="E651" s="5"/>
      <c r="F651" s="3"/>
      <c r="G651" s="3"/>
      <c r="H651" s="3"/>
      <c r="I651" s="3"/>
      <c r="J651" s="5"/>
      <c r="K651" s="3"/>
      <c r="L651" s="3"/>
      <c r="M651" s="3"/>
      <c r="N651" s="3"/>
      <c r="O651" s="3"/>
      <c r="P651" s="3"/>
      <c r="Q651" s="3"/>
      <c r="R651" s="3"/>
      <c r="S651" s="3"/>
      <c r="T651" s="3"/>
      <c r="U651" s="3"/>
      <c r="V651" s="3"/>
      <c r="W651" s="3"/>
      <c r="X651" s="3"/>
      <c r="Y651" s="3"/>
      <c r="Z651" s="3"/>
    </row>
    <row r="652">
      <c r="A652" s="3"/>
      <c r="B652" s="1"/>
      <c r="C652" s="1"/>
      <c r="D652" s="3"/>
      <c r="E652" s="5"/>
      <c r="F652" s="3"/>
      <c r="G652" s="3"/>
      <c r="H652" s="3"/>
      <c r="I652" s="3"/>
      <c r="J652" s="5"/>
      <c r="K652" s="3"/>
      <c r="L652" s="3"/>
      <c r="M652" s="3"/>
      <c r="N652" s="3"/>
      <c r="O652" s="3"/>
      <c r="P652" s="3"/>
      <c r="Q652" s="3"/>
      <c r="R652" s="3"/>
      <c r="S652" s="3"/>
      <c r="T652" s="3"/>
      <c r="U652" s="3"/>
      <c r="V652" s="3"/>
      <c r="W652" s="3"/>
      <c r="X652" s="3"/>
      <c r="Y652" s="3"/>
      <c r="Z652" s="3"/>
    </row>
    <row r="653">
      <c r="A653" s="3"/>
      <c r="B653" s="1"/>
      <c r="C653" s="1"/>
      <c r="D653" s="3"/>
      <c r="E653" s="5"/>
      <c r="F653" s="3"/>
      <c r="G653" s="3"/>
      <c r="H653" s="3"/>
      <c r="I653" s="3"/>
      <c r="J653" s="5"/>
      <c r="K653" s="3"/>
      <c r="L653" s="3"/>
      <c r="M653" s="3"/>
      <c r="N653" s="3"/>
      <c r="O653" s="3"/>
      <c r="P653" s="3"/>
      <c r="Q653" s="3"/>
      <c r="R653" s="3"/>
      <c r="S653" s="3"/>
      <c r="T653" s="3"/>
      <c r="U653" s="3"/>
      <c r="V653" s="3"/>
      <c r="W653" s="3"/>
      <c r="X653" s="3"/>
      <c r="Y653" s="3"/>
      <c r="Z653" s="3"/>
    </row>
    <row r="654">
      <c r="A654" s="3"/>
      <c r="B654" s="1"/>
      <c r="C654" s="1"/>
      <c r="D654" s="3"/>
      <c r="E654" s="5"/>
      <c r="F654" s="3"/>
      <c r="G654" s="3"/>
      <c r="H654" s="3"/>
      <c r="I654" s="3"/>
      <c r="J654" s="5"/>
      <c r="K654" s="3"/>
      <c r="L654" s="3"/>
      <c r="M654" s="3"/>
      <c r="N654" s="3"/>
      <c r="O654" s="3"/>
      <c r="P654" s="3"/>
      <c r="Q654" s="3"/>
      <c r="R654" s="3"/>
      <c r="S654" s="3"/>
      <c r="T654" s="3"/>
      <c r="U654" s="3"/>
      <c r="V654" s="3"/>
      <c r="W654" s="3"/>
      <c r="X654" s="3"/>
      <c r="Y654" s="3"/>
      <c r="Z654" s="3"/>
    </row>
    <row r="655">
      <c r="A655" s="3"/>
      <c r="B655" s="1"/>
      <c r="C655" s="1"/>
      <c r="D655" s="3"/>
      <c r="E655" s="5"/>
      <c r="F655" s="3"/>
      <c r="G655" s="3"/>
      <c r="H655" s="3"/>
      <c r="I655" s="3"/>
      <c r="J655" s="5"/>
      <c r="K655" s="3"/>
      <c r="L655" s="3"/>
      <c r="M655" s="3"/>
      <c r="N655" s="3"/>
      <c r="O655" s="3"/>
      <c r="P655" s="3"/>
      <c r="Q655" s="3"/>
      <c r="R655" s="3"/>
      <c r="S655" s="3"/>
      <c r="T655" s="3"/>
      <c r="U655" s="3"/>
      <c r="V655" s="3"/>
      <c r="W655" s="3"/>
      <c r="X655" s="3"/>
      <c r="Y655" s="3"/>
      <c r="Z655" s="3"/>
    </row>
    <row r="656">
      <c r="A656" s="3"/>
      <c r="B656" s="1"/>
      <c r="C656" s="1"/>
      <c r="D656" s="3"/>
      <c r="E656" s="5"/>
      <c r="F656" s="3"/>
      <c r="G656" s="3"/>
      <c r="H656" s="3"/>
      <c r="I656" s="3"/>
      <c r="J656" s="5"/>
      <c r="K656" s="3"/>
      <c r="L656" s="3"/>
      <c r="M656" s="3"/>
      <c r="N656" s="3"/>
      <c r="O656" s="3"/>
      <c r="P656" s="3"/>
      <c r="Q656" s="3"/>
      <c r="R656" s="3"/>
      <c r="S656" s="3"/>
      <c r="T656" s="3"/>
      <c r="U656" s="3"/>
      <c r="V656" s="3"/>
      <c r="W656" s="3"/>
      <c r="X656" s="3"/>
      <c r="Y656" s="3"/>
      <c r="Z656" s="3"/>
    </row>
    <row r="657">
      <c r="A657" s="3"/>
      <c r="B657" s="1"/>
      <c r="C657" s="1"/>
      <c r="D657" s="3"/>
      <c r="E657" s="5"/>
      <c r="F657" s="3"/>
      <c r="G657" s="3"/>
      <c r="H657" s="3"/>
      <c r="I657" s="3"/>
      <c r="J657" s="5"/>
      <c r="K657" s="3"/>
      <c r="L657" s="3"/>
      <c r="M657" s="3"/>
      <c r="N657" s="3"/>
      <c r="O657" s="3"/>
      <c r="P657" s="3"/>
      <c r="Q657" s="3"/>
      <c r="R657" s="3"/>
      <c r="S657" s="3"/>
      <c r="T657" s="3"/>
      <c r="U657" s="3"/>
      <c r="V657" s="3"/>
      <c r="W657" s="3"/>
      <c r="X657" s="3"/>
      <c r="Y657" s="3"/>
      <c r="Z657" s="3"/>
    </row>
    <row r="658">
      <c r="A658" s="3"/>
      <c r="B658" s="1"/>
      <c r="C658" s="1"/>
      <c r="D658" s="3"/>
      <c r="E658" s="5"/>
      <c r="F658" s="3"/>
      <c r="G658" s="3"/>
      <c r="H658" s="3"/>
      <c r="I658" s="3"/>
      <c r="J658" s="5"/>
      <c r="K658" s="3"/>
      <c r="L658" s="3"/>
      <c r="M658" s="3"/>
      <c r="N658" s="3"/>
      <c r="O658" s="3"/>
      <c r="P658" s="3"/>
      <c r="Q658" s="3"/>
      <c r="R658" s="3"/>
      <c r="S658" s="3"/>
      <c r="T658" s="3"/>
      <c r="U658" s="3"/>
      <c r="V658" s="3"/>
      <c r="W658" s="3"/>
      <c r="X658" s="3"/>
      <c r="Y658" s="3"/>
      <c r="Z658" s="3"/>
    </row>
    <row r="659">
      <c r="A659" s="3"/>
      <c r="B659" s="1"/>
      <c r="C659" s="1"/>
      <c r="D659" s="3"/>
      <c r="E659" s="5"/>
      <c r="F659" s="3"/>
      <c r="G659" s="3"/>
      <c r="H659" s="3"/>
      <c r="I659" s="3"/>
      <c r="J659" s="5"/>
      <c r="K659" s="3"/>
      <c r="L659" s="3"/>
      <c r="M659" s="3"/>
      <c r="N659" s="3"/>
      <c r="O659" s="3"/>
      <c r="P659" s="3"/>
      <c r="Q659" s="3"/>
      <c r="R659" s="3"/>
      <c r="S659" s="3"/>
      <c r="T659" s="3"/>
      <c r="U659" s="3"/>
      <c r="V659" s="3"/>
      <c r="W659" s="3"/>
      <c r="X659" s="3"/>
      <c r="Y659" s="3"/>
      <c r="Z659" s="3"/>
    </row>
    <row r="660">
      <c r="A660" s="3"/>
      <c r="B660" s="1"/>
      <c r="C660" s="1"/>
      <c r="D660" s="3"/>
      <c r="E660" s="5"/>
      <c r="F660" s="3"/>
      <c r="G660" s="3"/>
      <c r="H660" s="3"/>
      <c r="I660" s="3"/>
      <c r="J660" s="5"/>
      <c r="K660" s="3"/>
      <c r="L660" s="3"/>
      <c r="M660" s="3"/>
      <c r="N660" s="3"/>
      <c r="O660" s="3"/>
      <c r="P660" s="3"/>
      <c r="Q660" s="3"/>
      <c r="R660" s="3"/>
      <c r="S660" s="3"/>
      <c r="T660" s="3"/>
      <c r="U660" s="3"/>
      <c r="V660" s="3"/>
      <c r="W660" s="3"/>
      <c r="X660" s="3"/>
      <c r="Y660" s="3"/>
      <c r="Z660" s="3"/>
    </row>
    <row r="661">
      <c r="A661" s="3"/>
      <c r="B661" s="1"/>
      <c r="C661" s="1"/>
      <c r="D661" s="3"/>
      <c r="E661" s="5"/>
      <c r="F661" s="3"/>
      <c r="G661" s="3"/>
      <c r="H661" s="3"/>
      <c r="I661" s="3"/>
      <c r="J661" s="5"/>
      <c r="K661" s="3"/>
      <c r="L661" s="3"/>
      <c r="M661" s="3"/>
      <c r="N661" s="3"/>
      <c r="O661" s="3"/>
      <c r="P661" s="3"/>
      <c r="Q661" s="3"/>
      <c r="R661" s="3"/>
      <c r="S661" s="3"/>
      <c r="T661" s="3"/>
      <c r="U661" s="3"/>
      <c r="V661" s="3"/>
      <c r="W661" s="3"/>
      <c r="X661" s="3"/>
      <c r="Y661" s="3"/>
      <c r="Z661" s="3"/>
    </row>
    <row r="662">
      <c r="A662" s="3"/>
      <c r="B662" s="1"/>
      <c r="C662" s="1"/>
      <c r="D662" s="3"/>
      <c r="E662" s="5"/>
      <c r="F662" s="3"/>
      <c r="G662" s="3"/>
      <c r="H662" s="3"/>
      <c r="I662" s="3"/>
      <c r="J662" s="5"/>
      <c r="K662" s="3"/>
      <c r="L662" s="3"/>
      <c r="M662" s="3"/>
      <c r="N662" s="3"/>
      <c r="O662" s="3"/>
      <c r="P662" s="3"/>
      <c r="Q662" s="3"/>
      <c r="R662" s="3"/>
      <c r="S662" s="3"/>
      <c r="T662" s="3"/>
      <c r="U662" s="3"/>
      <c r="V662" s="3"/>
      <c r="W662" s="3"/>
      <c r="X662" s="3"/>
      <c r="Y662" s="3"/>
      <c r="Z662" s="3"/>
    </row>
    <row r="663">
      <c r="A663" s="3"/>
      <c r="B663" s="1"/>
      <c r="C663" s="1"/>
      <c r="D663" s="3"/>
      <c r="E663" s="5"/>
      <c r="F663" s="3"/>
      <c r="G663" s="3"/>
      <c r="H663" s="3"/>
      <c r="I663" s="3"/>
      <c r="J663" s="5"/>
      <c r="K663" s="3"/>
      <c r="L663" s="3"/>
      <c r="M663" s="3"/>
      <c r="N663" s="3"/>
      <c r="O663" s="3"/>
      <c r="P663" s="3"/>
      <c r="Q663" s="3"/>
      <c r="R663" s="3"/>
      <c r="S663" s="3"/>
      <c r="T663" s="3"/>
      <c r="U663" s="3"/>
      <c r="V663" s="3"/>
      <c r="W663" s="3"/>
      <c r="X663" s="3"/>
      <c r="Y663" s="3"/>
      <c r="Z663" s="3"/>
    </row>
    <row r="664">
      <c r="A664" s="3"/>
      <c r="B664" s="1"/>
      <c r="C664" s="1"/>
      <c r="D664" s="3"/>
      <c r="E664" s="5"/>
      <c r="F664" s="3"/>
      <c r="G664" s="3"/>
      <c r="H664" s="3"/>
      <c r="I664" s="3"/>
      <c r="J664" s="5"/>
      <c r="K664" s="3"/>
      <c r="L664" s="3"/>
      <c r="M664" s="3"/>
      <c r="N664" s="3"/>
      <c r="O664" s="3"/>
      <c r="P664" s="3"/>
      <c r="Q664" s="3"/>
      <c r="R664" s="3"/>
      <c r="S664" s="3"/>
      <c r="T664" s="3"/>
      <c r="U664" s="3"/>
      <c r="V664" s="3"/>
      <c r="W664" s="3"/>
      <c r="X664" s="3"/>
      <c r="Y664" s="3"/>
      <c r="Z664" s="3"/>
    </row>
    <row r="665">
      <c r="A665" s="3"/>
      <c r="B665" s="1"/>
      <c r="C665" s="1"/>
      <c r="D665" s="3"/>
      <c r="E665" s="5"/>
      <c r="F665" s="3"/>
      <c r="G665" s="3"/>
      <c r="H665" s="3"/>
      <c r="I665" s="3"/>
      <c r="J665" s="5"/>
      <c r="K665" s="3"/>
      <c r="L665" s="3"/>
      <c r="M665" s="3"/>
      <c r="N665" s="3"/>
      <c r="O665" s="3"/>
      <c r="P665" s="3"/>
      <c r="Q665" s="3"/>
      <c r="R665" s="3"/>
      <c r="S665" s="3"/>
      <c r="T665" s="3"/>
      <c r="U665" s="3"/>
      <c r="V665" s="3"/>
      <c r="W665" s="3"/>
      <c r="X665" s="3"/>
      <c r="Y665" s="3"/>
      <c r="Z665" s="3"/>
    </row>
    <row r="666">
      <c r="A666" s="3"/>
      <c r="B666" s="1"/>
      <c r="C666" s="1"/>
      <c r="D666" s="3"/>
      <c r="E666" s="5"/>
      <c r="F666" s="3"/>
      <c r="G666" s="3"/>
      <c r="H666" s="3"/>
      <c r="I666" s="3"/>
      <c r="J666" s="5"/>
      <c r="K666" s="3"/>
      <c r="L666" s="3"/>
      <c r="M666" s="3"/>
      <c r="N666" s="3"/>
      <c r="O666" s="3"/>
      <c r="P666" s="3"/>
      <c r="Q666" s="3"/>
      <c r="R666" s="3"/>
      <c r="S666" s="3"/>
      <c r="T666" s="3"/>
      <c r="U666" s="3"/>
      <c r="V666" s="3"/>
      <c r="W666" s="3"/>
      <c r="X666" s="3"/>
      <c r="Y666" s="3"/>
      <c r="Z666" s="3"/>
    </row>
    <row r="667">
      <c r="A667" s="3"/>
      <c r="B667" s="1"/>
      <c r="C667" s="1"/>
      <c r="D667" s="3"/>
      <c r="E667" s="5"/>
      <c r="F667" s="3"/>
      <c r="G667" s="3"/>
      <c r="H667" s="3"/>
      <c r="I667" s="3"/>
      <c r="J667" s="5"/>
      <c r="K667" s="3"/>
      <c r="L667" s="3"/>
      <c r="M667" s="3"/>
      <c r="N667" s="3"/>
      <c r="O667" s="3"/>
      <c r="P667" s="3"/>
      <c r="Q667" s="3"/>
      <c r="R667" s="3"/>
      <c r="S667" s="3"/>
      <c r="T667" s="3"/>
      <c r="U667" s="3"/>
      <c r="V667" s="3"/>
      <c r="W667" s="3"/>
      <c r="X667" s="3"/>
      <c r="Y667" s="3"/>
      <c r="Z667" s="3"/>
    </row>
    <row r="668">
      <c r="A668" s="3"/>
      <c r="B668" s="1"/>
      <c r="C668" s="1"/>
      <c r="D668" s="3"/>
      <c r="E668" s="5"/>
      <c r="F668" s="3"/>
      <c r="G668" s="3"/>
      <c r="H668" s="3"/>
      <c r="I668" s="3"/>
      <c r="J668" s="5"/>
      <c r="K668" s="3"/>
      <c r="L668" s="3"/>
      <c r="M668" s="3"/>
      <c r="N668" s="3"/>
      <c r="O668" s="3"/>
      <c r="P668" s="3"/>
      <c r="Q668" s="3"/>
      <c r="R668" s="3"/>
      <c r="S668" s="3"/>
      <c r="T668" s="3"/>
      <c r="U668" s="3"/>
      <c r="V668" s="3"/>
      <c r="W668" s="3"/>
      <c r="X668" s="3"/>
      <c r="Y668" s="3"/>
      <c r="Z668" s="3"/>
    </row>
    <row r="669">
      <c r="A669" s="3"/>
      <c r="B669" s="1"/>
      <c r="C669" s="1"/>
      <c r="D669" s="3"/>
      <c r="E669" s="5"/>
      <c r="F669" s="3"/>
      <c r="G669" s="3"/>
      <c r="H669" s="3"/>
      <c r="I669" s="3"/>
      <c r="J669" s="5"/>
      <c r="K669" s="3"/>
      <c r="L669" s="3"/>
      <c r="M669" s="3"/>
      <c r="N669" s="3"/>
      <c r="O669" s="3"/>
      <c r="P669" s="3"/>
      <c r="Q669" s="3"/>
      <c r="R669" s="3"/>
      <c r="S669" s="3"/>
      <c r="T669" s="3"/>
      <c r="U669" s="3"/>
      <c r="V669" s="3"/>
      <c r="W669" s="3"/>
      <c r="X669" s="3"/>
      <c r="Y669" s="3"/>
      <c r="Z669" s="3"/>
    </row>
    <row r="670">
      <c r="A670" s="3"/>
      <c r="B670" s="1"/>
      <c r="C670" s="1"/>
      <c r="D670" s="3"/>
      <c r="E670" s="5"/>
      <c r="F670" s="3"/>
      <c r="G670" s="3"/>
      <c r="H670" s="3"/>
      <c r="I670" s="3"/>
      <c r="J670" s="5"/>
      <c r="K670" s="3"/>
      <c r="L670" s="3"/>
      <c r="M670" s="3"/>
      <c r="N670" s="3"/>
      <c r="O670" s="3"/>
      <c r="P670" s="3"/>
      <c r="Q670" s="3"/>
      <c r="R670" s="3"/>
      <c r="S670" s="3"/>
      <c r="T670" s="3"/>
      <c r="U670" s="3"/>
      <c r="V670" s="3"/>
      <c r="W670" s="3"/>
      <c r="X670" s="3"/>
      <c r="Y670" s="3"/>
      <c r="Z670" s="3"/>
    </row>
    <row r="671">
      <c r="A671" s="3"/>
      <c r="B671" s="1"/>
      <c r="C671" s="1"/>
      <c r="D671" s="3"/>
      <c r="E671" s="5"/>
      <c r="F671" s="3"/>
      <c r="G671" s="3"/>
      <c r="H671" s="3"/>
      <c r="I671" s="3"/>
      <c r="J671" s="5"/>
      <c r="K671" s="3"/>
      <c r="L671" s="3"/>
      <c r="M671" s="3"/>
      <c r="N671" s="3"/>
      <c r="O671" s="3"/>
      <c r="P671" s="3"/>
      <c r="Q671" s="3"/>
      <c r="R671" s="3"/>
      <c r="S671" s="3"/>
      <c r="T671" s="3"/>
      <c r="U671" s="3"/>
      <c r="V671" s="3"/>
      <c r="W671" s="3"/>
      <c r="X671" s="3"/>
      <c r="Y671" s="3"/>
      <c r="Z671" s="3"/>
    </row>
    <row r="672">
      <c r="A672" s="3"/>
      <c r="B672" s="1"/>
      <c r="C672" s="1"/>
      <c r="D672" s="3"/>
      <c r="E672" s="5"/>
      <c r="F672" s="3"/>
      <c r="G672" s="3"/>
      <c r="H672" s="3"/>
      <c r="I672" s="3"/>
      <c r="J672" s="5"/>
      <c r="K672" s="3"/>
      <c r="L672" s="3"/>
      <c r="M672" s="3"/>
      <c r="N672" s="3"/>
      <c r="O672" s="3"/>
      <c r="P672" s="3"/>
      <c r="Q672" s="3"/>
      <c r="R672" s="3"/>
      <c r="S672" s="3"/>
      <c r="T672" s="3"/>
      <c r="U672" s="3"/>
      <c r="V672" s="3"/>
      <c r="W672" s="3"/>
      <c r="X672" s="3"/>
      <c r="Y672" s="3"/>
      <c r="Z672" s="3"/>
    </row>
    <row r="673">
      <c r="A673" s="3"/>
      <c r="B673" s="1"/>
      <c r="C673" s="1"/>
      <c r="D673" s="3"/>
      <c r="E673" s="5"/>
      <c r="F673" s="3"/>
      <c r="G673" s="3"/>
      <c r="H673" s="3"/>
      <c r="I673" s="3"/>
      <c r="J673" s="5"/>
      <c r="K673" s="3"/>
      <c r="L673" s="3"/>
      <c r="M673" s="3"/>
      <c r="N673" s="3"/>
      <c r="O673" s="3"/>
      <c r="P673" s="3"/>
      <c r="Q673" s="3"/>
      <c r="R673" s="3"/>
      <c r="S673" s="3"/>
      <c r="T673" s="3"/>
      <c r="U673" s="3"/>
      <c r="V673" s="3"/>
      <c r="W673" s="3"/>
      <c r="X673" s="3"/>
      <c r="Y673" s="3"/>
      <c r="Z673" s="3"/>
    </row>
    <row r="674">
      <c r="A674" s="3"/>
      <c r="B674" s="1"/>
      <c r="C674" s="1"/>
      <c r="D674" s="3"/>
      <c r="E674" s="5"/>
      <c r="F674" s="3"/>
      <c r="G674" s="3"/>
      <c r="H674" s="3"/>
      <c r="I674" s="3"/>
      <c r="J674" s="5"/>
      <c r="K674" s="3"/>
      <c r="L674" s="3"/>
      <c r="M674" s="3"/>
      <c r="N674" s="3"/>
      <c r="O674" s="3"/>
      <c r="P674" s="3"/>
      <c r="Q674" s="3"/>
      <c r="R674" s="3"/>
      <c r="S674" s="3"/>
      <c r="T674" s="3"/>
      <c r="U674" s="3"/>
      <c r="V674" s="3"/>
      <c r="W674" s="3"/>
      <c r="X674" s="3"/>
      <c r="Y674" s="3"/>
      <c r="Z674" s="3"/>
    </row>
    <row r="675">
      <c r="A675" s="3"/>
      <c r="B675" s="1"/>
      <c r="C675" s="1"/>
      <c r="D675" s="3"/>
      <c r="E675" s="5"/>
      <c r="F675" s="3"/>
      <c r="G675" s="3"/>
      <c r="H675" s="3"/>
      <c r="I675" s="3"/>
      <c r="J675" s="5"/>
      <c r="K675" s="3"/>
      <c r="L675" s="3"/>
      <c r="M675" s="3"/>
      <c r="N675" s="3"/>
      <c r="O675" s="3"/>
      <c r="P675" s="3"/>
      <c r="Q675" s="3"/>
      <c r="R675" s="3"/>
      <c r="S675" s="3"/>
      <c r="T675" s="3"/>
      <c r="U675" s="3"/>
      <c r="V675" s="3"/>
      <c r="W675" s="3"/>
      <c r="X675" s="3"/>
      <c r="Y675" s="3"/>
      <c r="Z675" s="3"/>
    </row>
    <row r="676">
      <c r="A676" s="3"/>
      <c r="B676" s="1"/>
      <c r="C676" s="1"/>
      <c r="D676" s="3"/>
      <c r="E676" s="5"/>
      <c r="F676" s="3"/>
      <c r="G676" s="3"/>
      <c r="H676" s="3"/>
      <c r="I676" s="3"/>
      <c r="J676" s="5"/>
      <c r="K676" s="3"/>
      <c r="L676" s="3"/>
      <c r="M676" s="3"/>
      <c r="N676" s="3"/>
      <c r="O676" s="3"/>
      <c r="P676" s="3"/>
      <c r="Q676" s="3"/>
      <c r="R676" s="3"/>
      <c r="S676" s="3"/>
      <c r="T676" s="3"/>
      <c r="U676" s="3"/>
      <c r="V676" s="3"/>
      <c r="W676" s="3"/>
      <c r="X676" s="3"/>
      <c r="Y676" s="3"/>
      <c r="Z676" s="3"/>
    </row>
    <row r="677">
      <c r="A677" s="3"/>
      <c r="B677" s="1"/>
      <c r="C677" s="1"/>
      <c r="D677" s="3"/>
      <c r="E677" s="5"/>
      <c r="F677" s="3"/>
      <c r="G677" s="3"/>
      <c r="H677" s="3"/>
      <c r="I677" s="3"/>
      <c r="J677" s="5"/>
      <c r="K677" s="3"/>
      <c r="L677" s="3"/>
      <c r="M677" s="3"/>
      <c r="N677" s="3"/>
      <c r="O677" s="3"/>
      <c r="P677" s="3"/>
      <c r="Q677" s="3"/>
      <c r="R677" s="3"/>
      <c r="S677" s="3"/>
      <c r="T677" s="3"/>
      <c r="U677" s="3"/>
      <c r="V677" s="3"/>
      <c r="W677" s="3"/>
      <c r="X677" s="3"/>
      <c r="Y677" s="3"/>
      <c r="Z677" s="3"/>
    </row>
    <row r="678">
      <c r="A678" s="3"/>
      <c r="B678" s="1"/>
      <c r="C678" s="1"/>
      <c r="D678" s="3"/>
      <c r="E678" s="5"/>
      <c r="F678" s="3"/>
      <c r="G678" s="3"/>
      <c r="H678" s="3"/>
      <c r="I678" s="3"/>
      <c r="J678" s="5"/>
      <c r="K678" s="3"/>
      <c r="L678" s="3"/>
      <c r="M678" s="3"/>
      <c r="N678" s="3"/>
      <c r="O678" s="3"/>
      <c r="P678" s="3"/>
      <c r="Q678" s="3"/>
      <c r="R678" s="3"/>
      <c r="S678" s="3"/>
      <c r="T678" s="3"/>
      <c r="U678" s="3"/>
      <c r="V678" s="3"/>
      <c r="W678" s="3"/>
      <c r="X678" s="3"/>
      <c r="Y678" s="3"/>
      <c r="Z678" s="3"/>
    </row>
    <row r="679">
      <c r="A679" s="3"/>
      <c r="B679" s="1"/>
      <c r="C679" s="1"/>
      <c r="D679" s="3"/>
      <c r="E679" s="5"/>
      <c r="F679" s="3"/>
      <c r="G679" s="3"/>
      <c r="H679" s="3"/>
      <c r="I679" s="3"/>
      <c r="J679" s="5"/>
      <c r="K679" s="3"/>
      <c r="L679" s="3"/>
      <c r="M679" s="3"/>
      <c r="N679" s="3"/>
      <c r="O679" s="3"/>
      <c r="P679" s="3"/>
      <c r="Q679" s="3"/>
      <c r="R679" s="3"/>
      <c r="S679" s="3"/>
      <c r="T679" s="3"/>
      <c r="U679" s="3"/>
      <c r="V679" s="3"/>
      <c r="W679" s="3"/>
      <c r="X679" s="3"/>
      <c r="Y679" s="3"/>
      <c r="Z679" s="3"/>
    </row>
    <row r="680">
      <c r="A680" s="3"/>
      <c r="B680" s="1"/>
      <c r="C680" s="1"/>
      <c r="D680" s="3"/>
      <c r="E680" s="5"/>
      <c r="F680" s="3"/>
      <c r="G680" s="3"/>
      <c r="H680" s="3"/>
      <c r="I680" s="3"/>
      <c r="J680" s="5"/>
      <c r="K680" s="3"/>
      <c r="L680" s="3"/>
      <c r="M680" s="3"/>
      <c r="N680" s="3"/>
      <c r="O680" s="3"/>
      <c r="P680" s="3"/>
      <c r="Q680" s="3"/>
      <c r="R680" s="3"/>
      <c r="S680" s="3"/>
      <c r="T680" s="3"/>
      <c r="U680" s="3"/>
      <c r="V680" s="3"/>
      <c r="W680" s="3"/>
      <c r="X680" s="3"/>
      <c r="Y680" s="3"/>
      <c r="Z680" s="3"/>
    </row>
    <row r="681">
      <c r="A681" s="3"/>
      <c r="B681" s="1"/>
      <c r="C681" s="1"/>
      <c r="D681" s="3"/>
      <c r="E681" s="5"/>
      <c r="F681" s="3"/>
      <c r="G681" s="3"/>
      <c r="H681" s="3"/>
      <c r="I681" s="3"/>
      <c r="J681" s="5"/>
      <c r="K681" s="3"/>
      <c r="L681" s="3"/>
      <c r="M681" s="3"/>
      <c r="N681" s="3"/>
      <c r="O681" s="3"/>
      <c r="P681" s="3"/>
      <c r="Q681" s="3"/>
      <c r="R681" s="3"/>
      <c r="S681" s="3"/>
      <c r="T681" s="3"/>
      <c r="U681" s="3"/>
      <c r="V681" s="3"/>
      <c r="W681" s="3"/>
      <c r="X681" s="3"/>
      <c r="Y681" s="3"/>
      <c r="Z681" s="3"/>
    </row>
    <row r="682">
      <c r="A682" s="3"/>
      <c r="B682" s="1"/>
      <c r="C682" s="1"/>
      <c r="D682" s="3"/>
      <c r="E682" s="5"/>
      <c r="F682" s="3"/>
      <c r="G682" s="3"/>
      <c r="H682" s="3"/>
      <c r="I682" s="3"/>
      <c r="J682" s="5"/>
      <c r="K682" s="3"/>
      <c r="L682" s="3"/>
      <c r="M682" s="3"/>
      <c r="N682" s="3"/>
      <c r="O682" s="3"/>
      <c r="P682" s="3"/>
      <c r="Q682" s="3"/>
      <c r="R682" s="3"/>
      <c r="S682" s="3"/>
      <c r="T682" s="3"/>
      <c r="U682" s="3"/>
      <c r="V682" s="3"/>
      <c r="W682" s="3"/>
      <c r="X682" s="3"/>
      <c r="Y682" s="3"/>
      <c r="Z682" s="3"/>
    </row>
    <row r="683">
      <c r="A683" s="3"/>
      <c r="B683" s="1"/>
      <c r="C683" s="1"/>
      <c r="D683" s="3"/>
      <c r="E683" s="5"/>
      <c r="F683" s="3"/>
      <c r="G683" s="3"/>
      <c r="H683" s="3"/>
      <c r="I683" s="3"/>
      <c r="J683" s="5"/>
      <c r="K683" s="3"/>
      <c r="L683" s="3"/>
      <c r="M683" s="3"/>
      <c r="N683" s="3"/>
      <c r="O683" s="3"/>
      <c r="P683" s="3"/>
      <c r="Q683" s="3"/>
      <c r="R683" s="3"/>
      <c r="S683" s="3"/>
      <c r="T683" s="3"/>
      <c r="U683" s="3"/>
      <c r="V683" s="3"/>
      <c r="W683" s="3"/>
      <c r="X683" s="3"/>
      <c r="Y683" s="3"/>
      <c r="Z683" s="3"/>
    </row>
    <row r="684">
      <c r="A684" s="3"/>
      <c r="B684" s="1"/>
      <c r="C684" s="1"/>
      <c r="D684" s="3"/>
      <c r="E684" s="5"/>
      <c r="F684" s="3"/>
      <c r="G684" s="3"/>
      <c r="H684" s="3"/>
      <c r="I684" s="3"/>
      <c r="J684" s="5"/>
      <c r="K684" s="3"/>
      <c r="L684" s="3"/>
      <c r="M684" s="3"/>
      <c r="N684" s="3"/>
      <c r="O684" s="3"/>
      <c r="P684" s="3"/>
      <c r="Q684" s="3"/>
      <c r="R684" s="3"/>
      <c r="S684" s="3"/>
      <c r="T684" s="3"/>
      <c r="U684" s="3"/>
      <c r="V684" s="3"/>
      <c r="W684" s="3"/>
      <c r="X684" s="3"/>
      <c r="Y684" s="3"/>
      <c r="Z684" s="3"/>
    </row>
    <row r="685">
      <c r="A685" s="3"/>
      <c r="B685" s="1"/>
      <c r="C685" s="1"/>
      <c r="D685" s="3"/>
      <c r="E685" s="5"/>
      <c r="F685" s="3"/>
      <c r="G685" s="3"/>
      <c r="H685" s="3"/>
      <c r="I685" s="3"/>
      <c r="J685" s="5"/>
      <c r="K685" s="3"/>
      <c r="L685" s="3"/>
      <c r="M685" s="3"/>
      <c r="N685" s="3"/>
      <c r="O685" s="3"/>
      <c r="P685" s="3"/>
      <c r="Q685" s="3"/>
      <c r="R685" s="3"/>
      <c r="S685" s="3"/>
      <c r="T685" s="3"/>
      <c r="U685" s="3"/>
      <c r="V685" s="3"/>
      <c r="W685" s="3"/>
      <c r="X685" s="3"/>
      <c r="Y685" s="3"/>
      <c r="Z685" s="3"/>
    </row>
    <row r="686">
      <c r="A686" s="3"/>
      <c r="B686" s="1"/>
      <c r="C686" s="1"/>
      <c r="D686" s="3"/>
      <c r="E686" s="5"/>
      <c r="F686" s="3"/>
      <c r="G686" s="3"/>
      <c r="H686" s="3"/>
      <c r="I686" s="3"/>
      <c r="J686" s="5"/>
      <c r="K686" s="3"/>
      <c r="L686" s="3"/>
      <c r="M686" s="3"/>
      <c r="N686" s="3"/>
      <c r="O686" s="3"/>
      <c r="P686" s="3"/>
      <c r="Q686" s="3"/>
      <c r="R686" s="3"/>
      <c r="S686" s="3"/>
      <c r="T686" s="3"/>
      <c r="U686" s="3"/>
      <c r="V686" s="3"/>
      <c r="W686" s="3"/>
      <c r="X686" s="3"/>
      <c r="Y686" s="3"/>
      <c r="Z686" s="3"/>
    </row>
    <row r="687">
      <c r="A687" s="3"/>
      <c r="B687" s="1"/>
      <c r="C687" s="1"/>
      <c r="D687" s="3"/>
      <c r="E687" s="5"/>
      <c r="F687" s="3"/>
      <c r="G687" s="3"/>
      <c r="H687" s="3"/>
      <c r="I687" s="3"/>
      <c r="J687" s="5"/>
      <c r="K687" s="3"/>
      <c r="L687" s="3"/>
      <c r="M687" s="3"/>
      <c r="N687" s="3"/>
      <c r="O687" s="3"/>
      <c r="P687" s="3"/>
      <c r="Q687" s="3"/>
      <c r="R687" s="3"/>
      <c r="S687" s="3"/>
      <c r="T687" s="3"/>
      <c r="U687" s="3"/>
      <c r="V687" s="3"/>
      <c r="W687" s="3"/>
      <c r="X687" s="3"/>
      <c r="Y687" s="3"/>
      <c r="Z687" s="3"/>
    </row>
    <row r="688">
      <c r="A688" s="3"/>
      <c r="B688" s="1"/>
      <c r="C688" s="1"/>
      <c r="D688" s="3"/>
      <c r="E688" s="5"/>
      <c r="F688" s="3"/>
      <c r="G688" s="3"/>
      <c r="H688" s="3"/>
      <c r="I688" s="3"/>
      <c r="J688" s="5"/>
      <c r="K688" s="3"/>
      <c r="L688" s="3"/>
      <c r="M688" s="3"/>
      <c r="N688" s="3"/>
      <c r="O688" s="3"/>
      <c r="P688" s="3"/>
      <c r="Q688" s="3"/>
      <c r="R688" s="3"/>
      <c r="S688" s="3"/>
      <c r="T688" s="3"/>
      <c r="U688" s="3"/>
      <c r="V688" s="3"/>
      <c r="W688" s="3"/>
      <c r="X688" s="3"/>
      <c r="Y688" s="3"/>
      <c r="Z688" s="3"/>
    </row>
    <row r="689">
      <c r="A689" s="3"/>
      <c r="B689" s="1"/>
      <c r="C689" s="1"/>
      <c r="D689" s="3"/>
      <c r="E689" s="5"/>
      <c r="F689" s="3"/>
      <c r="G689" s="3"/>
      <c r="H689" s="3"/>
      <c r="I689" s="3"/>
      <c r="J689" s="5"/>
      <c r="K689" s="3"/>
      <c r="L689" s="3"/>
      <c r="M689" s="3"/>
      <c r="N689" s="3"/>
      <c r="O689" s="3"/>
      <c r="P689" s="3"/>
      <c r="Q689" s="3"/>
      <c r="R689" s="3"/>
      <c r="S689" s="3"/>
      <c r="T689" s="3"/>
      <c r="U689" s="3"/>
      <c r="V689" s="3"/>
      <c r="W689" s="3"/>
      <c r="X689" s="3"/>
      <c r="Y689" s="3"/>
      <c r="Z689" s="3"/>
    </row>
    <row r="690">
      <c r="A690" s="3"/>
      <c r="B690" s="1"/>
      <c r="C690" s="1"/>
      <c r="D690" s="3"/>
      <c r="E690" s="5"/>
      <c r="F690" s="3"/>
      <c r="G690" s="3"/>
      <c r="H690" s="3"/>
      <c r="I690" s="3"/>
      <c r="J690" s="5"/>
      <c r="K690" s="3"/>
      <c r="L690" s="3"/>
      <c r="M690" s="3"/>
      <c r="N690" s="3"/>
      <c r="O690" s="3"/>
      <c r="P690" s="3"/>
      <c r="Q690" s="3"/>
      <c r="R690" s="3"/>
      <c r="S690" s="3"/>
      <c r="T690" s="3"/>
      <c r="U690" s="3"/>
      <c r="V690" s="3"/>
      <c r="W690" s="3"/>
      <c r="X690" s="3"/>
      <c r="Y690" s="3"/>
      <c r="Z690" s="3"/>
    </row>
    <row r="691">
      <c r="A691" s="3"/>
      <c r="B691" s="1"/>
      <c r="C691" s="1"/>
      <c r="D691" s="3"/>
      <c r="E691" s="5"/>
      <c r="F691" s="3"/>
      <c r="G691" s="3"/>
      <c r="H691" s="3"/>
      <c r="I691" s="3"/>
      <c r="J691" s="5"/>
      <c r="K691" s="3"/>
      <c r="L691" s="3"/>
      <c r="M691" s="3"/>
      <c r="N691" s="3"/>
      <c r="O691" s="3"/>
      <c r="P691" s="3"/>
      <c r="Q691" s="3"/>
      <c r="R691" s="3"/>
      <c r="S691" s="3"/>
      <c r="T691" s="3"/>
      <c r="U691" s="3"/>
      <c r="V691" s="3"/>
      <c r="W691" s="3"/>
      <c r="X691" s="3"/>
      <c r="Y691" s="3"/>
      <c r="Z691" s="3"/>
    </row>
    <row r="692">
      <c r="A692" s="3"/>
      <c r="B692" s="1"/>
      <c r="C692" s="1"/>
      <c r="D692" s="3"/>
      <c r="E692" s="5"/>
      <c r="F692" s="3"/>
      <c r="G692" s="3"/>
      <c r="H692" s="3"/>
      <c r="I692" s="3"/>
      <c r="J692" s="5"/>
      <c r="K692" s="3"/>
      <c r="L692" s="3"/>
      <c r="M692" s="3"/>
      <c r="N692" s="3"/>
      <c r="O692" s="3"/>
      <c r="P692" s="3"/>
      <c r="Q692" s="3"/>
      <c r="R692" s="3"/>
      <c r="S692" s="3"/>
      <c r="T692" s="3"/>
      <c r="U692" s="3"/>
      <c r="V692" s="3"/>
      <c r="W692" s="3"/>
      <c r="X692" s="3"/>
      <c r="Y692" s="3"/>
      <c r="Z692" s="3"/>
    </row>
    <row r="693">
      <c r="A693" s="3"/>
      <c r="B693" s="1"/>
      <c r="C693" s="1"/>
      <c r="D693" s="3"/>
      <c r="E693" s="5"/>
      <c r="F693" s="3"/>
      <c r="G693" s="3"/>
      <c r="H693" s="3"/>
      <c r="I693" s="3"/>
      <c r="J693" s="5"/>
      <c r="K693" s="3"/>
      <c r="L693" s="3"/>
      <c r="M693" s="3"/>
      <c r="N693" s="3"/>
      <c r="O693" s="3"/>
      <c r="P693" s="3"/>
      <c r="Q693" s="3"/>
      <c r="R693" s="3"/>
      <c r="S693" s="3"/>
      <c r="T693" s="3"/>
      <c r="U693" s="3"/>
      <c r="V693" s="3"/>
      <c r="W693" s="3"/>
      <c r="X693" s="3"/>
      <c r="Y693" s="3"/>
      <c r="Z693" s="3"/>
    </row>
    <row r="694">
      <c r="A694" s="3"/>
      <c r="B694" s="1"/>
      <c r="C694" s="1"/>
      <c r="D694" s="3"/>
      <c r="E694" s="5"/>
      <c r="F694" s="3"/>
      <c r="G694" s="3"/>
      <c r="H694" s="3"/>
      <c r="I694" s="3"/>
      <c r="J694" s="5"/>
      <c r="K694" s="3"/>
      <c r="L694" s="3"/>
      <c r="M694" s="3"/>
      <c r="N694" s="3"/>
      <c r="O694" s="3"/>
      <c r="P694" s="3"/>
      <c r="Q694" s="3"/>
      <c r="R694" s="3"/>
      <c r="S694" s="3"/>
      <c r="T694" s="3"/>
      <c r="U694" s="3"/>
      <c r="V694" s="3"/>
      <c r="W694" s="3"/>
      <c r="X694" s="3"/>
      <c r="Y694" s="3"/>
      <c r="Z694" s="3"/>
    </row>
    <row r="695">
      <c r="A695" s="3"/>
      <c r="B695" s="1"/>
      <c r="C695" s="1"/>
      <c r="D695" s="3"/>
      <c r="E695" s="5"/>
      <c r="F695" s="3"/>
      <c r="G695" s="3"/>
      <c r="H695" s="3"/>
      <c r="I695" s="3"/>
      <c r="J695" s="5"/>
      <c r="K695" s="3"/>
      <c r="L695" s="3"/>
      <c r="M695" s="3"/>
      <c r="N695" s="3"/>
      <c r="O695" s="3"/>
      <c r="P695" s="3"/>
      <c r="Q695" s="3"/>
      <c r="R695" s="3"/>
      <c r="S695" s="3"/>
      <c r="T695" s="3"/>
      <c r="U695" s="3"/>
      <c r="V695" s="3"/>
      <c r="W695" s="3"/>
      <c r="X695" s="3"/>
      <c r="Y695" s="3"/>
      <c r="Z695" s="3"/>
    </row>
    <row r="696">
      <c r="A696" s="3"/>
      <c r="B696" s="1"/>
      <c r="C696" s="1"/>
      <c r="D696" s="3"/>
      <c r="E696" s="5"/>
      <c r="F696" s="3"/>
      <c r="G696" s="3"/>
      <c r="H696" s="3"/>
      <c r="I696" s="3"/>
      <c r="J696" s="5"/>
      <c r="K696" s="3"/>
      <c r="L696" s="3"/>
      <c r="M696" s="3"/>
      <c r="N696" s="3"/>
      <c r="O696" s="3"/>
      <c r="P696" s="3"/>
      <c r="Q696" s="3"/>
      <c r="R696" s="3"/>
      <c r="S696" s="3"/>
      <c r="T696" s="3"/>
      <c r="U696" s="3"/>
      <c r="V696" s="3"/>
      <c r="W696" s="3"/>
      <c r="X696" s="3"/>
      <c r="Y696" s="3"/>
      <c r="Z696" s="3"/>
    </row>
    <row r="697">
      <c r="A697" s="3"/>
      <c r="B697" s="1"/>
      <c r="C697" s="1"/>
      <c r="D697" s="3"/>
      <c r="E697" s="5"/>
      <c r="F697" s="3"/>
      <c r="G697" s="3"/>
      <c r="H697" s="3"/>
      <c r="I697" s="3"/>
      <c r="J697" s="5"/>
      <c r="K697" s="3"/>
      <c r="L697" s="3"/>
      <c r="M697" s="3"/>
      <c r="N697" s="3"/>
      <c r="O697" s="3"/>
      <c r="P697" s="3"/>
      <c r="Q697" s="3"/>
      <c r="R697" s="3"/>
      <c r="S697" s="3"/>
      <c r="T697" s="3"/>
      <c r="U697" s="3"/>
      <c r="V697" s="3"/>
      <c r="W697" s="3"/>
      <c r="X697" s="3"/>
      <c r="Y697" s="3"/>
      <c r="Z697" s="3"/>
    </row>
    <row r="698">
      <c r="A698" s="3"/>
      <c r="B698" s="1"/>
      <c r="C698" s="1"/>
      <c r="D698" s="3"/>
      <c r="E698" s="5"/>
      <c r="F698" s="3"/>
      <c r="G698" s="3"/>
      <c r="H698" s="3"/>
      <c r="I698" s="3"/>
      <c r="J698" s="5"/>
      <c r="K698" s="3"/>
      <c r="L698" s="3"/>
      <c r="M698" s="3"/>
      <c r="N698" s="3"/>
      <c r="O698" s="3"/>
      <c r="P698" s="3"/>
      <c r="Q698" s="3"/>
      <c r="R698" s="3"/>
      <c r="S698" s="3"/>
      <c r="T698" s="3"/>
      <c r="U698" s="3"/>
      <c r="V698" s="3"/>
      <c r="W698" s="3"/>
      <c r="X698" s="3"/>
      <c r="Y698" s="3"/>
      <c r="Z698" s="3"/>
    </row>
    <row r="699">
      <c r="A699" s="3"/>
      <c r="B699" s="1"/>
      <c r="C699" s="1"/>
      <c r="D699" s="3"/>
      <c r="E699" s="5"/>
      <c r="F699" s="3"/>
      <c r="G699" s="3"/>
      <c r="H699" s="3"/>
      <c r="I699" s="3"/>
      <c r="J699" s="5"/>
      <c r="K699" s="3"/>
      <c r="L699" s="3"/>
      <c r="M699" s="3"/>
      <c r="N699" s="3"/>
      <c r="O699" s="3"/>
      <c r="P699" s="3"/>
      <c r="Q699" s="3"/>
      <c r="R699" s="3"/>
      <c r="S699" s="3"/>
      <c r="T699" s="3"/>
      <c r="U699" s="3"/>
      <c r="V699" s="3"/>
      <c r="W699" s="3"/>
      <c r="X699" s="3"/>
      <c r="Y699" s="3"/>
      <c r="Z699" s="3"/>
    </row>
    <row r="700">
      <c r="A700" s="3"/>
      <c r="B700" s="1"/>
      <c r="C700" s="1"/>
      <c r="D700" s="3"/>
      <c r="E700" s="5"/>
      <c r="F700" s="3"/>
      <c r="G700" s="3"/>
      <c r="H700" s="3"/>
      <c r="I700" s="3"/>
      <c r="J700" s="5"/>
      <c r="K700" s="3"/>
      <c r="L700" s="3"/>
      <c r="M700" s="3"/>
      <c r="N700" s="3"/>
      <c r="O700" s="3"/>
      <c r="P700" s="3"/>
      <c r="Q700" s="3"/>
      <c r="R700" s="3"/>
      <c r="S700" s="3"/>
      <c r="T700" s="3"/>
      <c r="U700" s="3"/>
      <c r="V700" s="3"/>
      <c r="W700" s="3"/>
      <c r="X700" s="3"/>
      <c r="Y700" s="3"/>
      <c r="Z700" s="3"/>
    </row>
    <row r="701">
      <c r="A701" s="3"/>
      <c r="B701" s="1"/>
      <c r="C701" s="1"/>
      <c r="D701" s="3"/>
      <c r="E701" s="5"/>
      <c r="F701" s="3"/>
      <c r="G701" s="3"/>
      <c r="H701" s="3"/>
      <c r="I701" s="3"/>
      <c r="J701" s="5"/>
      <c r="K701" s="3"/>
      <c r="L701" s="3"/>
      <c r="M701" s="3"/>
      <c r="N701" s="3"/>
      <c r="O701" s="3"/>
      <c r="P701" s="3"/>
      <c r="Q701" s="3"/>
      <c r="R701" s="3"/>
      <c r="S701" s="3"/>
      <c r="T701" s="3"/>
      <c r="U701" s="3"/>
      <c r="V701" s="3"/>
      <c r="W701" s="3"/>
      <c r="X701" s="3"/>
      <c r="Y701" s="3"/>
      <c r="Z701" s="3"/>
    </row>
    <row r="702">
      <c r="A702" s="3"/>
      <c r="B702" s="1"/>
      <c r="C702" s="1"/>
      <c r="D702" s="3"/>
      <c r="E702" s="5"/>
      <c r="F702" s="3"/>
      <c r="G702" s="3"/>
      <c r="H702" s="3"/>
      <c r="I702" s="3"/>
      <c r="J702" s="5"/>
      <c r="K702" s="3"/>
      <c r="L702" s="3"/>
      <c r="M702" s="3"/>
      <c r="N702" s="3"/>
      <c r="O702" s="3"/>
      <c r="P702" s="3"/>
      <c r="Q702" s="3"/>
      <c r="R702" s="3"/>
      <c r="S702" s="3"/>
      <c r="T702" s="3"/>
      <c r="U702" s="3"/>
      <c r="V702" s="3"/>
      <c r="W702" s="3"/>
      <c r="X702" s="3"/>
      <c r="Y702" s="3"/>
      <c r="Z702" s="3"/>
    </row>
    <row r="703">
      <c r="A703" s="3"/>
      <c r="B703" s="1"/>
      <c r="C703" s="1"/>
      <c r="D703" s="3"/>
      <c r="E703" s="5"/>
      <c r="F703" s="3"/>
      <c r="G703" s="3"/>
      <c r="H703" s="3"/>
      <c r="I703" s="3"/>
      <c r="J703" s="5"/>
      <c r="K703" s="3"/>
      <c r="L703" s="3"/>
      <c r="M703" s="3"/>
      <c r="N703" s="3"/>
      <c r="O703" s="3"/>
      <c r="P703" s="3"/>
      <c r="Q703" s="3"/>
      <c r="R703" s="3"/>
      <c r="S703" s="3"/>
      <c r="T703" s="3"/>
      <c r="U703" s="3"/>
      <c r="V703" s="3"/>
      <c r="W703" s="3"/>
      <c r="X703" s="3"/>
      <c r="Y703" s="3"/>
      <c r="Z703" s="3"/>
    </row>
    <row r="704">
      <c r="A704" s="3"/>
      <c r="B704" s="1"/>
      <c r="C704" s="1"/>
      <c r="D704" s="3"/>
      <c r="E704" s="5"/>
      <c r="F704" s="3"/>
      <c r="G704" s="3"/>
      <c r="H704" s="3"/>
      <c r="I704" s="3"/>
      <c r="J704" s="5"/>
      <c r="K704" s="3"/>
      <c r="L704" s="3"/>
      <c r="M704" s="3"/>
      <c r="N704" s="3"/>
      <c r="O704" s="3"/>
      <c r="P704" s="3"/>
      <c r="Q704" s="3"/>
      <c r="R704" s="3"/>
      <c r="S704" s="3"/>
      <c r="T704" s="3"/>
      <c r="U704" s="3"/>
      <c r="V704" s="3"/>
      <c r="W704" s="3"/>
      <c r="X704" s="3"/>
      <c r="Y704" s="3"/>
      <c r="Z704" s="3"/>
    </row>
    <row r="705">
      <c r="A705" s="3"/>
      <c r="B705" s="1"/>
      <c r="C705" s="1"/>
      <c r="D705" s="3"/>
      <c r="E705" s="5"/>
      <c r="F705" s="3"/>
      <c r="G705" s="3"/>
      <c r="H705" s="3"/>
      <c r="I705" s="3"/>
      <c r="J705" s="5"/>
      <c r="K705" s="3"/>
      <c r="L705" s="3"/>
      <c r="M705" s="3"/>
      <c r="N705" s="3"/>
      <c r="O705" s="3"/>
      <c r="P705" s="3"/>
      <c r="Q705" s="3"/>
      <c r="R705" s="3"/>
      <c r="S705" s="3"/>
      <c r="T705" s="3"/>
      <c r="U705" s="3"/>
      <c r="V705" s="3"/>
      <c r="W705" s="3"/>
      <c r="X705" s="3"/>
      <c r="Y705" s="3"/>
      <c r="Z705" s="3"/>
    </row>
    <row r="706">
      <c r="A706" s="3"/>
      <c r="B706" s="1"/>
      <c r="C706" s="1"/>
      <c r="D706" s="3"/>
      <c r="E706" s="5"/>
      <c r="F706" s="3"/>
      <c r="G706" s="3"/>
      <c r="H706" s="3"/>
      <c r="I706" s="3"/>
      <c r="J706" s="5"/>
      <c r="K706" s="3"/>
      <c r="L706" s="3"/>
      <c r="M706" s="3"/>
      <c r="N706" s="3"/>
      <c r="O706" s="3"/>
      <c r="P706" s="3"/>
      <c r="Q706" s="3"/>
      <c r="R706" s="3"/>
      <c r="S706" s="3"/>
      <c r="T706" s="3"/>
      <c r="U706" s="3"/>
      <c r="V706" s="3"/>
      <c r="W706" s="3"/>
      <c r="X706" s="3"/>
      <c r="Y706" s="3"/>
      <c r="Z706" s="3"/>
    </row>
    <row r="707">
      <c r="A707" s="3"/>
      <c r="B707" s="1"/>
      <c r="C707" s="1"/>
      <c r="D707" s="3"/>
      <c r="E707" s="5"/>
      <c r="F707" s="3"/>
      <c r="G707" s="3"/>
      <c r="H707" s="3"/>
      <c r="I707" s="3"/>
      <c r="J707" s="5"/>
      <c r="K707" s="3"/>
      <c r="L707" s="3"/>
      <c r="M707" s="3"/>
      <c r="N707" s="3"/>
      <c r="O707" s="3"/>
      <c r="P707" s="3"/>
      <c r="Q707" s="3"/>
      <c r="R707" s="3"/>
      <c r="S707" s="3"/>
      <c r="T707" s="3"/>
      <c r="U707" s="3"/>
      <c r="V707" s="3"/>
      <c r="W707" s="3"/>
      <c r="X707" s="3"/>
      <c r="Y707" s="3"/>
      <c r="Z707" s="3"/>
    </row>
    <row r="708">
      <c r="A708" s="3"/>
      <c r="B708" s="1"/>
      <c r="C708" s="1"/>
      <c r="D708" s="3"/>
      <c r="E708" s="5"/>
      <c r="F708" s="3"/>
      <c r="G708" s="3"/>
      <c r="H708" s="3"/>
      <c r="I708" s="3"/>
      <c r="J708" s="5"/>
      <c r="K708" s="3"/>
      <c r="L708" s="3"/>
      <c r="M708" s="3"/>
      <c r="N708" s="3"/>
      <c r="O708" s="3"/>
      <c r="P708" s="3"/>
      <c r="Q708" s="3"/>
      <c r="R708" s="3"/>
      <c r="S708" s="3"/>
      <c r="T708" s="3"/>
      <c r="U708" s="3"/>
      <c r="V708" s="3"/>
      <c r="W708" s="3"/>
      <c r="X708" s="3"/>
      <c r="Y708" s="3"/>
      <c r="Z708" s="3"/>
    </row>
    <row r="709">
      <c r="A709" s="3"/>
      <c r="B709" s="1"/>
      <c r="C709" s="1"/>
      <c r="D709" s="3"/>
      <c r="E709" s="5"/>
      <c r="F709" s="3"/>
      <c r="G709" s="3"/>
      <c r="H709" s="3"/>
      <c r="I709" s="3"/>
      <c r="J709" s="5"/>
      <c r="K709" s="3"/>
      <c r="L709" s="3"/>
      <c r="M709" s="3"/>
      <c r="N709" s="3"/>
      <c r="O709" s="3"/>
      <c r="P709" s="3"/>
      <c r="Q709" s="3"/>
      <c r="R709" s="3"/>
      <c r="S709" s="3"/>
      <c r="T709" s="3"/>
      <c r="U709" s="3"/>
      <c r="V709" s="3"/>
      <c r="W709" s="3"/>
      <c r="X709" s="3"/>
      <c r="Y709" s="3"/>
      <c r="Z709" s="3"/>
    </row>
    <row r="710">
      <c r="A710" s="3"/>
      <c r="B710" s="1"/>
      <c r="C710" s="1"/>
      <c r="D710" s="3"/>
      <c r="E710" s="5"/>
      <c r="F710" s="3"/>
      <c r="G710" s="3"/>
      <c r="H710" s="3"/>
      <c r="I710" s="3"/>
      <c r="J710" s="5"/>
      <c r="K710" s="3"/>
      <c r="L710" s="3"/>
      <c r="M710" s="3"/>
      <c r="N710" s="3"/>
      <c r="O710" s="3"/>
      <c r="P710" s="3"/>
      <c r="Q710" s="3"/>
      <c r="R710" s="3"/>
      <c r="S710" s="3"/>
      <c r="T710" s="3"/>
      <c r="U710" s="3"/>
      <c r="V710" s="3"/>
      <c r="W710" s="3"/>
      <c r="X710" s="3"/>
      <c r="Y710" s="3"/>
      <c r="Z710" s="3"/>
    </row>
    <row r="711">
      <c r="A711" s="3"/>
      <c r="B711" s="1"/>
      <c r="C711" s="1"/>
      <c r="D711" s="3"/>
      <c r="E711" s="5"/>
      <c r="F711" s="3"/>
      <c r="G711" s="3"/>
      <c r="H711" s="3"/>
      <c r="I711" s="3"/>
      <c r="J711" s="5"/>
      <c r="K711" s="3"/>
      <c r="L711" s="3"/>
      <c r="M711" s="3"/>
      <c r="N711" s="3"/>
      <c r="O711" s="3"/>
      <c r="P711" s="3"/>
      <c r="Q711" s="3"/>
      <c r="R711" s="3"/>
      <c r="S711" s="3"/>
      <c r="T711" s="3"/>
      <c r="U711" s="3"/>
      <c r="V711" s="3"/>
      <c r="W711" s="3"/>
      <c r="X711" s="3"/>
      <c r="Y711" s="3"/>
      <c r="Z711" s="3"/>
    </row>
    <row r="712">
      <c r="A712" s="3"/>
      <c r="B712" s="1"/>
      <c r="C712" s="1"/>
      <c r="D712" s="3"/>
      <c r="E712" s="5"/>
      <c r="F712" s="3"/>
      <c r="G712" s="3"/>
      <c r="H712" s="3"/>
      <c r="I712" s="3"/>
      <c r="J712" s="5"/>
      <c r="K712" s="3"/>
      <c r="L712" s="3"/>
      <c r="M712" s="3"/>
      <c r="N712" s="3"/>
      <c r="O712" s="3"/>
      <c r="P712" s="3"/>
      <c r="Q712" s="3"/>
      <c r="R712" s="3"/>
      <c r="S712" s="3"/>
      <c r="T712" s="3"/>
      <c r="U712" s="3"/>
      <c r="V712" s="3"/>
      <c r="W712" s="3"/>
      <c r="X712" s="3"/>
      <c r="Y712" s="3"/>
      <c r="Z712" s="3"/>
    </row>
    <row r="713">
      <c r="A713" s="3"/>
      <c r="B713" s="1"/>
      <c r="C713" s="1"/>
      <c r="D713" s="3"/>
      <c r="E713" s="5"/>
      <c r="F713" s="3"/>
      <c r="G713" s="3"/>
      <c r="H713" s="3"/>
      <c r="I713" s="3"/>
      <c r="J713" s="5"/>
      <c r="K713" s="3"/>
      <c r="L713" s="3"/>
      <c r="M713" s="3"/>
      <c r="N713" s="3"/>
      <c r="O713" s="3"/>
      <c r="P713" s="3"/>
      <c r="Q713" s="3"/>
      <c r="R713" s="3"/>
      <c r="S713" s="3"/>
      <c r="T713" s="3"/>
      <c r="U713" s="3"/>
      <c r="V713" s="3"/>
      <c r="W713" s="3"/>
      <c r="X713" s="3"/>
      <c r="Y713" s="3"/>
      <c r="Z713" s="3"/>
    </row>
    <row r="714">
      <c r="A714" s="3"/>
      <c r="B714" s="1"/>
      <c r="C714" s="1"/>
      <c r="D714" s="3"/>
      <c r="E714" s="5"/>
      <c r="F714" s="3"/>
      <c r="G714" s="3"/>
      <c r="H714" s="3"/>
      <c r="I714" s="3"/>
      <c r="J714" s="5"/>
      <c r="K714" s="3"/>
      <c r="L714" s="3"/>
      <c r="M714" s="3"/>
      <c r="N714" s="3"/>
      <c r="O714" s="3"/>
      <c r="P714" s="3"/>
      <c r="Q714" s="3"/>
      <c r="R714" s="3"/>
      <c r="S714" s="3"/>
      <c r="T714" s="3"/>
      <c r="U714" s="3"/>
      <c r="V714" s="3"/>
      <c r="W714" s="3"/>
      <c r="X714" s="3"/>
      <c r="Y714" s="3"/>
      <c r="Z714" s="3"/>
    </row>
    <row r="715">
      <c r="A715" s="3"/>
      <c r="B715" s="1"/>
      <c r="C715" s="1"/>
      <c r="D715" s="3"/>
      <c r="E715" s="5"/>
      <c r="F715" s="3"/>
      <c r="G715" s="3"/>
      <c r="H715" s="3"/>
      <c r="I715" s="3"/>
      <c r="J715" s="5"/>
      <c r="K715" s="3"/>
      <c r="L715" s="3"/>
      <c r="M715" s="3"/>
      <c r="N715" s="3"/>
      <c r="O715" s="3"/>
      <c r="P715" s="3"/>
      <c r="Q715" s="3"/>
      <c r="R715" s="3"/>
      <c r="S715" s="3"/>
      <c r="T715" s="3"/>
      <c r="U715" s="3"/>
      <c r="V715" s="3"/>
      <c r="W715" s="3"/>
      <c r="X715" s="3"/>
      <c r="Y715" s="3"/>
      <c r="Z715" s="3"/>
    </row>
    <row r="716">
      <c r="A716" s="3"/>
      <c r="B716" s="1"/>
      <c r="C716" s="1"/>
      <c r="D716" s="3"/>
      <c r="E716" s="5"/>
      <c r="F716" s="3"/>
      <c r="G716" s="3"/>
      <c r="H716" s="3"/>
      <c r="I716" s="3"/>
      <c r="J716" s="5"/>
      <c r="K716" s="3"/>
      <c r="L716" s="3"/>
      <c r="M716" s="3"/>
      <c r="N716" s="3"/>
      <c r="O716" s="3"/>
      <c r="P716" s="3"/>
      <c r="Q716" s="3"/>
      <c r="R716" s="3"/>
      <c r="S716" s="3"/>
      <c r="T716" s="3"/>
      <c r="U716" s="3"/>
      <c r="V716" s="3"/>
      <c r="W716" s="3"/>
      <c r="X716" s="3"/>
      <c r="Y716" s="3"/>
      <c r="Z716" s="3"/>
    </row>
    <row r="717">
      <c r="A717" s="3"/>
      <c r="B717" s="1"/>
      <c r="C717" s="1"/>
      <c r="D717" s="3"/>
      <c r="E717" s="5"/>
      <c r="F717" s="3"/>
      <c r="G717" s="3"/>
      <c r="H717" s="3"/>
      <c r="I717" s="3"/>
      <c r="J717" s="5"/>
      <c r="K717" s="3"/>
      <c r="L717" s="3"/>
      <c r="M717" s="3"/>
      <c r="N717" s="3"/>
      <c r="O717" s="3"/>
      <c r="P717" s="3"/>
      <c r="Q717" s="3"/>
      <c r="R717" s="3"/>
      <c r="S717" s="3"/>
      <c r="T717" s="3"/>
      <c r="U717" s="3"/>
      <c r="V717" s="3"/>
      <c r="W717" s="3"/>
      <c r="X717" s="3"/>
      <c r="Y717" s="3"/>
      <c r="Z717" s="3"/>
    </row>
    <row r="718">
      <c r="A718" s="3"/>
      <c r="B718" s="1"/>
      <c r="C718" s="1"/>
      <c r="D718" s="3"/>
      <c r="E718" s="5"/>
      <c r="F718" s="3"/>
      <c r="G718" s="3"/>
      <c r="H718" s="3"/>
      <c r="I718" s="3"/>
      <c r="J718" s="5"/>
      <c r="K718" s="3"/>
      <c r="L718" s="3"/>
      <c r="M718" s="3"/>
      <c r="N718" s="3"/>
      <c r="O718" s="3"/>
      <c r="P718" s="3"/>
      <c r="Q718" s="3"/>
      <c r="R718" s="3"/>
      <c r="S718" s="3"/>
      <c r="T718" s="3"/>
      <c r="U718" s="3"/>
      <c r="V718" s="3"/>
      <c r="W718" s="3"/>
      <c r="X718" s="3"/>
      <c r="Y718" s="3"/>
      <c r="Z718" s="3"/>
    </row>
    <row r="719">
      <c r="A719" s="3"/>
      <c r="B719" s="1"/>
      <c r="C719" s="1"/>
      <c r="D719" s="3"/>
      <c r="E719" s="5"/>
      <c r="F719" s="3"/>
      <c r="G719" s="3"/>
      <c r="H719" s="3"/>
      <c r="I719" s="3"/>
      <c r="J719" s="5"/>
      <c r="K719" s="3"/>
      <c r="L719" s="3"/>
      <c r="M719" s="3"/>
      <c r="N719" s="3"/>
      <c r="O719" s="3"/>
      <c r="P719" s="3"/>
      <c r="Q719" s="3"/>
      <c r="R719" s="3"/>
      <c r="S719" s="3"/>
      <c r="T719" s="3"/>
      <c r="U719" s="3"/>
      <c r="V719" s="3"/>
      <c r="W719" s="3"/>
      <c r="X719" s="3"/>
      <c r="Y719" s="3"/>
      <c r="Z719" s="3"/>
    </row>
    <row r="720">
      <c r="A720" s="3"/>
      <c r="B720" s="1"/>
      <c r="C720" s="1"/>
      <c r="D720" s="3"/>
      <c r="E720" s="5"/>
      <c r="F720" s="3"/>
      <c r="G720" s="3"/>
      <c r="H720" s="3"/>
      <c r="I720" s="3"/>
      <c r="J720" s="5"/>
      <c r="K720" s="3"/>
      <c r="L720" s="3"/>
      <c r="M720" s="3"/>
      <c r="N720" s="3"/>
      <c r="O720" s="3"/>
      <c r="P720" s="3"/>
      <c r="Q720" s="3"/>
      <c r="R720" s="3"/>
      <c r="S720" s="3"/>
      <c r="T720" s="3"/>
      <c r="U720" s="3"/>
      <c r="V720" s="3"/>
      <c r="W720" s="3"/>
      <c r="X720" s="3"/>
      <c r="Y720" s="3"/>
      <c r="Z720" s="3"/>
    </row>
    <row r="721">
      <c r="A721" s="3"/>
      <c r="B721" s="1"/>
      <c r="C721" s="1"/>
      <c r="D721" s="3"/>
      <c r="E721" s="5"/>
      <c r="F721" s="3"/>
      <c r="G721" s="3"/>
      <c r="H721" s="3"/>
      <c r="I721" s="3"/>
      <c r="J721" s="5"/>
      <c r="K721" s="3"/>
      <c r="L721" s="3"/>
      <c r="M721" s="3"/>
      <c r="N721" s="3"/>
      <c r="O721" s="3"/>
      <c r="P721" s="3"/>
      <c r="Q721" s="3"/>
      <c r="R721" s="3"/>
      <c r="S721" s="3"/>
      <c r="T721" s="3"/>
      <c r="U721" s="3"/>
      <c r="V721" s="3"/>
      <c r="W721" s="3"/>
      <c r="X721" s="3"/>
      <c r="Y721" s="3"/>
      <c r="Z721" s="3"/>
    </row>
    <row r="722">
      <c r="A722" s="3"/>
      <c r="B722" s="1"/>
      <c r="C722" s="1"/>
      <c r="D722" s="3"/>
      <c r="E722" s="5"/>
      <c r="F722" s="3"/>
      <c r="G722" s="3"/>
      <c r="H722" s="3"/>
      <c r="I722" s="3"/>
      <c r="J722" s="5"/>
      <c r="K722" s="3"/>
      <c r="L722" s="3"/>
      <c r="M722" s="3"/>
      <c r="N722" s="3"/>
      <c r="O722" s="3"/>
      <c r="P722" s="3"/>
      <c r="Q722" s="3"/>
      <c r="R722" s="3"/>
      <c r="S722" s="3"/>
      <c r="T722" s="3"/>
      <c r="U722" s="3"/>
      <c r="V722" s="3"/>
      <c r="W722" s="3"/>
      <c r="X722" s="3"/>
      <c r="Y722" s="3"/>
      <c r="Z722" s="3"/>
    </row>
    <row r="723">
      <c r="A723" s="3"/>
      <c r="B723" s="1"/>
      <c r="C723" s="1"/>
      <c r="D723" s="3"/>
      <c r="E723" s="5"/>
      <c r="F723" s="3"/>
      <c r="G723" s="3"/>
      <c r="H723" s="3"/>
      <c r="I723" s="3"/>
      <c r="J723" s="5"/>
      <c r="K723" s="3"/>
      <c r="L723" s="3"/>
      <c r="M723" s="3"/>
      <c r="N723" s="3"/>
      <c r="O723" s="3"/>
      <c r="P723" s="3"/>
      <c r="Q723" s="3"/>
      <c r="R723" s="3"/>
      <c r="S723" s="3"/>
      <c r="T723" s="3"/>
      <c r="U723" s="3"/>
      <c r="V723" s="3"/>
      <c r="W723" s="3"/>
      <c r="X723" s="3"/>
      <c r="Y723" s="3"/>
      <c r="Z723" s="3"/>
    </row>
    <row r="724">
      <c r="A724" s="3"/>
      <c r="B724" s="1"/>
      <c r="C724" s="1"/>
      <c r="D724" s="3"/>
      <c r="E724" s="5"/>
      <c r="F724" s="3"/>
      <c r="G724" s="3"/>
      <c r="H724" s="3"/>
      <c r="I724" s="3"/>
      <c r="J724" s="5"/>
      <c r="K724" s="3"/>
      <c r="L724" s="3"/>
      <c r="M724" s="3"/>
      <c r="N724" s="3"/>
      <c r="O724" s="3"/>
      <c r="P724" s="3"/>
      <c r="Q724" s="3"/>
      <c r="R724" s="3"/>
      <c r="S724" s="3"/>
      <c r="T724" s="3"/>
      <c r="U724" s="3"/>
      <c r="V724" s="3"/>
      <c r="W724" s="3"/>
      <c r="X724" s="3"/>
      <c r="Y724" s="3"/>
      <c r="Z724" s="3"/>
    </row>
    <row r="725">
      <c r="A725" s="3"/>
      <c r="B725" s="1"/>
      <c r="C725" s="1"/>
      <c r="D725" s="3"/>
      <c r="E725" s="5"/>
      <c r="F725" s="3"/>
      <c r="G725" s="3"/>
      <c r="H725" s="3"/>
      <c r="I725" s="3"/>
      <c r="J725" s="5"/>
      <c r="K725" s="3"/>
      <c r="L725" s="3"/>
      <c r="M725" s="3"/>
      <c r="N725" s="3"/>
      <c r="O725" s="3"/>
      <c r="P725" s="3"/>
      <c r="Q725" s="3"/>
      <c r="R725" s="3"/>
      <c r="S725" s="3"/>
      <c r="T725" s="3"/>
      <c r="U725" s="3"/>
      <c r="V725" s="3"/>
      <c r="W725" s="3"/>
      <c r="X725" s="3"/>
      <c r="Y725" s="3"/>
      <c r="Z725" s="3"/>
    </row>
    <row r="726">
      <c r="A726" s="3"/>
      <c r="B726" s="1"/>
      <c r="C726" s="1"/>
      <c r="D726" s="3"/>
      <c r="E726" s="5"/>
      <c r="F726" s="3"/>
      <c r="G726" s="3"/>
      <c r="H726" s="3"/>
      <c r="I726" s="3"/>
      <c r="J726" s="5"/>
      <c r="K726" s="3"/>
      <c r="L726" s="3"/>
      <c r="M726" s="3"/>
      <c r="N726" s="3"/>
      <c r="O726" s="3"/>
      <c r="P726" s="3"/>
      <c r="Q726" s="3"/>
      <c r="R726" s="3"/>
      <c r="S726" s="3"/>
      <c r="T726" s="3"/>
      <c r="U726" s="3"/>
      <c r="V726" s="3"/>
      <c r="W726" s="3"/>
      <c r="X726" s="3"/>
      <c r="Y726" s="3"/>
      <c r="Z726" s="3"/>
    </row>
    <row r="727">
      <c r="A727" s="3"/>
      <c r="B727" s="1"/>
      <c r="C727" s="1"/>
      <c r="D727" s="3"/>
      <c r="E727" s="5"/>
      <c r="F727" s="3"/>
      <c r="G727" s="3"/>
      <c r="H727" s="3"/>
      <c r="I727" s="3"/>
      <c r="J727" s="5"/>
      <c r="K727" s="3"/>
      <c r="L727" s="3"/>
      <c r="M727" s="3"/>
      <c r="N727" s="3"/>
      <c r="O727" s="3"/>
      <c r="P727" s="3"/>
      <c r="Q727" s="3"/>
      <c r="R727" s="3"/>
      <c r="S727" s="3"/>
      <c r="T727" s="3"/>
      <c r="U727" s="3"/>
      <c r="V727" s="3"/>
      <c r="W727" s="3"/>
      <c r="X727" s="3"/>
      <c r="Y727" s="3"/>
      <c r="Z727" s="3"/>
    </row>
    <row r="728">
      <c r="A728" s="3"/>
      <c r="B728" s="1"/>
      <c r="C728" s="1"/>
      <c r="D728" s="3"/>
      <c r="E728" s="5"/>
      <c r="F728" s="3"/>
      <c r="G728" s="3"/>
      <c r="H728" s="3"/>
      <c r="I728" s="3"/>
      <c r="J728" s="5"/>
      <c r="K728" s="3"/>
      <c r="L728" s="3"/>
      <c r="M728" s="3"/>
      <c r="N728" s="3"/>
      <c r="O728" s="3"/>
      <c r="P728" s="3"/>
      <c r="Q728" s="3"/>
      <c r="R728" s="3"/>
      <c r="S728" s="3"/>
      <c r="T728" s="3"/>
      <c r="U728" s="3"/>
      <c r="V728" s="3"/>
      <c r="W728" s="3"/>
      <c r="X728" s="3"/>
      <c r="Y728" s="3"/>
      <c r="Z728" s="3"/>
    </row>
    <row r="729">
      <c r="A729" s="3"/>
      <c r="B729" s="1"/>
      <c r="C729" s="1"/>
      <c r="D729" s="3"/>
      <c r="E729" s="5"/>
      <c r="F729" s="3"/>
      <c r="G729" s="3"/>
      <c r="H729" s="3"/>
      <c r="I729" s="3"/>
      <c r="J729" s="5"/>
      <c r="K729" s="3"/>
      <c r="L729" s="3"/>
      <c r="M729" s="3"/>
      <c r="N729" s="3"/>
      <c r="O729" s="3"/>
      <c r="P729" s="3"/>
      <c r="Q729" s="3"/>
      <c r="R729" s="3"/>
      <c r="S729" s="3"/>
      <c r="T729" s="3"/>
      <c r="U729" s="3"/>
      <c r="V729" s="3"/>
      <c r="W729" s="3"/>
      <c r="X729" s="3"/>
      <c r="Y729" s="3"/>
      <c r="Z729" s="3"/>
    </row>
    <row r="730">
      <c r="A730" s="3"/>
      <c r="B730" s="1"/>
      <c r="C730" s="1"/>
      <c r="D730" s="3"/>
      <c r="E730" s="5"/>
      <c r="F730" s="3"/>
      <c r="G730" s="3"/>
      <c r="H730" s="3"/>
      <c r="I730" s="3"/>
      <c r="J730" s="5"/>
      <c r="K730" s="3"/>
      <c r="L730" s="3"/>
      <c r="M730" s="3"/>
      <c r="N730" s="3"/>
      <c r="O730" s="3"/>
      <c r="P730" s="3"/>
      <c r="Q730" s="3"/>
      <c r="R730" s="3"/>
      <c r="S730" s="3"/>
      <c r="T730" s="3"/>
      <c r="U730" s="3"/>
      <c r="V730" s="3"/>
      <c r="W730" s="3"/>
      <c r="X730" s="3"/>
      <c r="Y730" s="3"/>
      <c r="Z730" s="3"/>
    </row>
    <row r="731">
      <c r="A731" s="3"/>
      <c r="B731" s="1"/>
      <c r="C731" s="1"/>
      <c r="D731" s="3"/>
      <c r="E731" s="5"/>
      <c r="F731" s="3"/>
      <c r="G731" s="3"/>
      <c r="H731" s="3"/>
      <c r="I731" s="3"/>
      <c r="J731" s="5"/>
      <c r="K731" s="3"/>
      <c r="L731" s="3"/>
      <c r="M731" s="3"/>
      <c r="N731" s="3"/>
      <c r="O731" s="3"/>
      <c r="P731" s="3"/>
      <c r="Q731" s="3"/>
      <c r="R731" s="3"/>
      <c r="S731" s="3"/>
      <c r="T731" s="3"/>
      <c r="U731" s="3"/>
      <c r="V731" s="3"/>
      <c r="W731" s="3"/>
      <c r="X731" s="3"/>
      <c r="Y731" s="3"/>
      <c r="Z731" s="3"/>
    </row>
    <row r="732">
      <c r="A732" s="3"/>
      <c r="B732" s="1"/>
      <c r="C732" s="1"/>
      <c r="D732" s="3"/>
      <c r="E732" s="5"/>
      <c r="F732" s="3"/>
      <c r="G732" s="3"/>
      <c r="H732" s="3"/>
      <c r="I732" s="3"/>
      <c r="J732" s="5"/>
      <c r="K732" s="3"/>
      <c r="L732" s="3"/>
      <c r="M732" s="3"/>
      <c r="N732" s="3"/>
      <c r="O732" s="3"/>
      <c r="P732" s="3"/>
      <c r="Q732" s="3"/>
      <c r="R732" s="3"/>
      <c r="S732" s="3"/>
      <c r="T732" s="3"/>
      <c r="U732" s="3"/>
      <c r="V732" s="3"/>
      <c r="W732" s="3"/>
      <c r="X732" s="3"/>
      <c r="Y732" s="3"/>
      <c r="Z732" s="3"/>
    </row>
    <row r="733">
      <c r="A733" s="3"/>
      <c r="B733" s="1"/>
      <c r="C733" s="1"/>
      <c r="D733" s="3"/>
      <c r="E733" s="5"/>
      <c r="F733" s="3"/>
      <c r="G733" s="3"/>
      <c r="H733" s="3"/>
      <c r="I733" s="3"/>
      <c r="J733" s="5"/>
      <c r="K733" s="3"/>
      <c r="L733" s="3"/>
      <c r="M733" s="3"/>
      <c r="N733" s="3"/>
      <c r="O733" s="3"/>
      <c r="P733" s="3"/>
      <c r="Q733" s="3"/>
      <c r="R733" s="3"/>
      <c r="S733" s="3"/>
      <c r="T733" s="3"/>
      <c r="U733" s="3"/>
      <c r="V733" s="3"/>
      <c r="W733" s="3"/>
      <c r="X733" s="3"/>
      <c r="Y733" s="3"/>
      <c r="Z733" s="3"/>
    </row>
    <row r="734">
      <c r="A734" s="3"/>
      <c r="B734" s="1"/>
      <c r="C734" s="1"/>
      <c r="D734" s="3"/>
      <c r="E734" s="5"/>
      <c r="F734" s="3"/>
      <c r="G734" s="3"/>
      <c r="H734" s="3"/>
      <c r="I734" s="3"/>
      <c r="J734" s="5"/>
      <c r="K734" s="3"/>
      <c r="L734" s="3"/>
      <c r="M734" s="3"/>
      <c r="N734" s="3"/>
      <c r="O734" s="3"/>
      <c r="P734" s="3"/>
      <c r="Q734" s="3"/>
      <c r="R734" s="3"/>
      <c r="S734" s="3"/>
      <c r="T734" s="3"/>
      <c r="U734" s="3"/>
      <c r="V734" s="3"/>
      <c r="W734" s="3"/>
      <c r="X734" s="3"/>
      <c r="Y734" s="3"/>
      <c r="Z734" s="3"/>
    </row>
    <row r="735">
      <c r="A735" s="3"/>
      <c r="B735" s="1"/>
      <c r="C735" s="1"/>
      <c r="D735" s="3"/>
      <c r="E735" s="5"/>
      <c r="F735" s="3"/>
      <c r="G735" s="3"/>
      <c r="H735" s="3"/>
      <c r="I735" s="3"/>
      <c r="J735" s="5"/>
      <c r="K735" s="3"/>
      <c r="L735" s="3"/>
      <c r="M735" s="3"/>
      <c r="N735" s="3"/>
      <c r="O735" s="3"/>
      <c r="P735" s="3"/>
      <c r="Q735" s="3"/>
      <c r="R735" s="3"/>
      <c r="S735" s="3"/>
      <c r="T735" s="3"/>
      <c r="U735" s="3"/>
      <c r="V735" s="3"/>
      <c r="W735" s="3"/>
      <c r="X735" s="3"/>
      <c r="Y735" s="3"/>
      <c r="Z735" s="3"/>
    </row>
    <row r="736">
      <c r="A736" s="3"/>
      <c r="B736" s="1"/>
      <c r="C736" s="1"/>
      <c r="D736" s="3"/>
      <c r="E736" s="5"/>
      <c r="F736" s="3"/>
      <c r="G736" s="3"/>
      <c r="H736" s="3"/>
      <c r="I736" s="3"/>
      <c r="J736" s="5"/>
      <c r="K736" s="3"/>
      <c r="L736" s="3"/>
      <c r="M736" s="3"/>
      <c r="N736" s="3"/>
      <c r="O736" s="3"/>
      <c r="P736" s="3"/>
      <c r="Q736" s="3"/>
      <c r="R736" s="3"/>
      <c r="S736" s="3"/>
      <c r="T736" s="3"/>
      <c r="U736" s="3"/>
      <c r="V736" s="3"/>
      <c r="W736" s="3"/>
      <c r="X736" s="3"/>
      <c r="Y736" s="3"/>
      <c r="Z736" s="3"/>
    </row>
    <row r="737">
      <c r="A737" s="3"/>
      <c r="B737" s="1"/>
      <c r="C737" s="1"/>
      <c r="D737" s="3"/>
      <c r="E737" s="5"/>
      <c r="F737" s="3"/>
      <c r="G737" s="3"/>
      <c r="H737" s="3"/>
      <c r="I737" s="3"/>
      <c r="J737" s="5"/>
      <c r="K737" s="3"/>
      <c r="L737" s="3"/>
      <c r="M737" s="3"/>
      <c r="N737" s="3"/>
      <c r="O737" s="3"/>
      <c r="P737" s="3"/>
      <c r="Q737" s="3"/>
      <c r="R737" s="3"/>
      <c r="S737" s="3"/>
      <c r="T737" s="3"/>
      <c r="U737" s="3"/>
      <c r="V737" s="3"/>
      <c r="W737" s="3"/>
      <c r="X737" s="3"/>
      <c r="Y737" s="3"/>
      <c r="Z737" s="3"/>
    </row>
    <row r="738">
      <c r="A738" s="3"/>
      <c r="B738" s="1"/>
      <c r="C738" s="1"/>
      <c r="D738" s="3"/>
      <c r="E738" s="5"/>
      <c r="F738" s="3"/>
      <c r="G738" s="3"/>
      <c r="H738" s="3"/>
      <c r="I738" s="3"/>
      <c r="J738" s="5"/>
      <c r="K738" s="3"/>
      <c r="L738" s="3"/>
      <c r="M738" s="3"/>
      <c r="N738" s="3"/>
      <c r="O738" s="3"/>
      <c r="P738" s="3"/>
      <c r="Q738" s="3"/>
      <c r="R738" s="3"/>
      <c r="S738" s="3"/>
      <c r="T738" s="3"/>
      <c r="U738" s="3"/>
      <c r="V738" s="3"/>
      <c r="W738" s="3"/>
      <c r="X738" s="3"/>
      <c r="Y738" s="3"/>
      <c r="Z738" s="3"/>
    </row>
    <row r="739">
      <c r="A739" s="3"/>
      <c r="B739" s="1"/>
      <c r="C739" s="1"/>
      <c r="D739" s="3"/>
      <c r="E739" s="5"/>
      <c r="F739" s="3"/>
      <c r="G739" s="3"/>
      <c r="H739" s="3"/>
      <c r="I739" s="3"/>
      <c r="J739" s="5"/>
      <c r="K739" s="3"/>
      <c r="L739" s="3"/>
      <c r="M739" s="3"/>
      <c r="N739" s="3"/>
      <c r="O739" s="3"/>
      <c r="P739" s="3"/>
      <c r="Q739" s="3"/>
      <c r="R739" s="3"/>
      <c r="S739" s="3"/>
      <c r="T739" s="3"/>
      <c r="U739" s="3"/>
      <c r="V739" s="3"/>
      <c r="W739" s="3"/>
      <c r="X739" s="3"/>
      <c r="Y739" s="3"/>
      <c r="Z739" s="3"/>
    </row>
    <row r="740">
      <c r="A740" s="3"/>
      <c r="B740" s="1"/>
      <c r="C740" s="1"/>
      <c r="D740" s="3"/>
      <c r="E740" s="5"/>
      <c r="F740" s="3"/>
      <c r="G740" s="3"/>
      <c r="H740" s="3"/>
      <c r="I740" s="3"/>
      <c r="J740" s="5"/>
      <c r="K740" s="3"/>
      <c r="L740" s="3"/>
      <c r="M740" s="3"/>
      <c r="N740" s="3"/>
      <c r="O740" s="3"/>
      <c r="P740" s="3"/>
      <c r="Q740" s="3"/>
      <c r="R740" s="3"/>
      <c r="S740" s="3"/>
      <c r="T740" s="3"/>
      <c r="U740" s="3"/>
      <c r="V740" s="3"/>
      <c r="W740" s="3"/>
      <c r="X740" s="3"/>
      <c r="Y740" s="3"/>
      <c r="Z740" s="3"/>
    </row>
    <row r="741">
      <c r="A741" s="3"/>
      <c r="B741" s="1"/>
      <c r="C741" s="1"/>
      <c r="D741" s="3"/>
      <c r="E741" s="5"/>
      <c r="F741" s="3"/>
      <c r="G741" s="3"/>
      <c r="H741" s="3"/>
      <c r="I741" s="3"/>
      <c r="J741" s="5"/>
      <c r="K741" s="3"/>
      <c r="L741" s="3"/>
      <c r="M741" s="3"/>
      <c r="N741" s="3"/>
      <c r="O741" s="3"/>
      <c r="P741" s="3"/>
      <c r="Q741" s="3"/>
      <c r="R741" s="3"/>
      <c r="S741" s="3"/>
      <c r="T741" s="3"/>
      <c r="U741" s="3"/>
      <c r="V741" s="3"/>
      <c r="W741" s="3"/>
      <c r="X741" s="3"/>
      <c r="Y741" s="3"/>
      <c r="Z741" s="3"/>
    </row>
    <row r="742">
      <c r="A742" s="3"/>
      <c r="B742" s="1"/>
      <c r="C742" s="1"/>
      <c r="D742" s="3"/>
      <c r="E742" s="5"/>
      <c r="F742" s="3"/>
      <c r="G742" s="3"/>
      <c r="H742" s="3"/>
      <c r="I742" s="3"/>
      <c r="J742" s="5"/>
      <c r="K742" s="3"/>
      <c r="L742" s="3"/>
      <c r="M742" s="3"/>
      <c r="N742" s="3"/>
      <c r="O742" s="3"/>
      <c r="P742" s="3"/>
      <c r="Q742" s="3"/>
      <c r="R742" s="3"/>
      <c r="S742" s="3"/>
      <c r="T742" s="3"/>
      <c r="U742" s="3"/>
      <c r="V742" s="3"/>
      <c r="W742" s="3"/>
      <c r="X742" s="3"/>
      <c r="Y742" s="3"/>
      <c r="Z742" s="3"/>
    </row>
    <row r="743">
      <c r="A743" s="3"/>
      <c r="B743" s="1"/>
      <c r="C743" s="1"/>
      <c r="D743" s="3"/>
      <c r="E743" s="5"/>
      <c r="F743" s="3"/>
      <c r="G743" s="3"/>
      <c r="H743" s="3"/>
      <c r="I743" s="3"/>
      <c r="J743" s="5"/>
      <c r="K743" s="3"/>
      <c r="L743" s="3"/>
      <c r="M743" s="3"/>
      <c r="N743" s="3"/>
      <c r="O743" s="3"/>
      <c r="P743" s="3"/>
      <c r="Q743" s="3"/>
      <c r="R743" s="3"/>
      <c r="S743" s="3"/>
      <c r="T743" s="3"/>
      <c r="U743" s="3"/>
      <c r="V743" s="3"/>
      <c r="W743" s="3"/>
      <c r="X743" s="3"/>
      <c r="Y743" s="3"/>
      <c r="Z743" s="3"/>
    </row>
    <row r="744">
      <c r="A744" s="3"/>
      <c r="B744" s="1"/>
      <c r="C744" s="1"/>
      <c r="D744" s="3"/>
      <c r="E744" s="5"/>
      <c r="F744" s="3"/>
      <c r="G744" s="3"/>
      <c r="H744" s="3"/>
      <c r="I744" s="3"/>
      <c r="J744" s="5"/>
      <c r="K744" s="3"/>
      <c r="L744" s="3"/>
      <c r="M744" s="3"/>
      <c r="N744" s="3"/>
      <c r="O744" s="3"/>
      <c r="P744" s="3"/>
      <c r="Q744" s="3"/>
      <c r="R744" s="3"/>
      <c r="S744" s="3"/>
      <c r="T744" s="3"/>
      <c r="U744" s="3"/>
      <c r="V744" s="3"/>
      <c r="W744" s="3"/>
      <c r="X744" s="3"/>
      <c r="Y744" s="3"/>
      <c r="Z744" s="3"/>
    </row>
    <row r="745">
      <c r="A745" s="3"/>
      <c r="B745" s="1"/>
      <c r="C745" s="1"/>
      <c r="D745" s="3"/>
      <c r="E745" s="5"/>
      <c r="F745" s="3"/>
      <c r="G745" s="3"/>
      <c r="H745" s="3"/>
      <c r="I745" s="3"/>
      <c r="J745" s="5"/>
      <c r="K745" s="3"/>
      <c r="L745" s="3"/>
      <c r="M745" s="3"/>
      <c r="N745" s="3"/>
      <c r="O745" s="3"/>
      <c r="P745" s="3"/>
      <c r="Q745" s="3"/>
      <c r="R745" s="3"/>
      <c r="S745" s="3"/>
      <c r="T745" s="3"/>
      <c r="U745" s="3"/>
      <c r="V745" s="3"/>
      <c r="W745" s="3"/>
      <c r="X745" s="3"/>
      <c r="Y745" s="3"/>
      <c r="Z745" s="3"/>
    </row>
    <row r="746">
      <c r="A746" s="3"/>
      <c r="B746" s="1"/>
      <c r="C746" s="1"/>
      <c r="D746" s="3"/>
      <c r="E746" s="5"/>
      <c r="F746" s="3"/>
      <c r="G746" s="3"/>
      <c r="H746" s="3"/>
      <c r="I746" s="3"/>
      <c r="J746" s="5"/>
      <c r="K746" s="3"/>
      <c r="L746" s="3"/>
      <c r="M746" s="3"/>
      <c r="N746" s="3"/>
      <c r="O746" s="3"/>
      <c r="P746" s="3"/>
      <c r="Q746" s="3"/>
      <c r="R746" s="3"/>
      <c r="S746" s="3"/>
      <c r="T746" s="3"/>
      <c r="U746" s="3"/>
      <c r="V746" s="3"/>
      <c r="W746" s="3"/>
      <c r="X746" s="3"/>
      <c r="Y746" s="3"/>
      <c r="Z746" s="3"/>
    </row>
    <row r="747">
      <c r="A747" s="3"/>
      <c r="B747" s="1"/>
      <c r="C747" s="1"/>
      <c r="D747" s="3"/>
      <c r="E747" s="5"/>
      <c r="F747" s="3"/>
      <c r="G747" s="3"/>
      <c r="H747" s="3"/>
      <c r="I747" s="3"/>
      <c r="J747" s="5"/>
      <c r="K747" s="3"/>
      <c r="L747" s="3"/>
      <c r="M747" s="3"/>
      <c r="N747" s="3"/>
      <c r="O747" s="3"/>
      <c r="P747" s="3"/>
      <c r="Q747" s="3"/>
      <c r="R747" s="3"/>
      <c r="S747" s="3"/>
      <c r="T747" s="3"/>
      <c r="U747" s="3"/>
      <c r="V747" s="3"/>
      <c r="W747" s="3"/>
      <c r="X747" s="3"/>
      <c r="Y747" s="3"/>
      <c r="Z747" s="3"/>
    </row>
    <row r="748">
      <c r="A748" s="3"/>
      <c r="B748" s="1"/>
      <c r="C748" s="1"/>
      <c r="D748" s="3"/>
      <c r="E748" s="5"/>
      <c r="F748" s="3"/>
      <c r="G748" s="3"/>
      <c r="H748" s="3"/>
      <c r="I748" s="3"/>
      <c r="J748" s="5"/>
      <c r="K748" s="3"/>
      <c r="L748" s="3"/>
      <c r="M748" s="3"/>
      <c r="N748" s="3"/>
      <c r="O748" s="3"/>
      <c r="P748" s="3"/>
      <c r="Q748" s="3"/>
      <c r="R748" s="3"/>
      <c r="S748" s="3"/>
      <c r="T748" s="3"/>
      <c r="U748" s="3"/>
      <c r="V748" s="3"/>
      <c r="W748" s="3"/>
      <c r="X748" s="3"/>
      <c r="Y748" s="3"/>
      <c r="Z748" s="3"/>
    </row>
    <row r="749">
      <c r="A749" s="3"/>
      <c r="B749" s="1"/>
      <c r="C749" s="1"/>
      <c r="D749" s="3"/>
      <c r="E749" s="5"/>
      <c r="F749" s="3"/>
      <c r="G749" s="3"/>
      <c r="H749" s="3"/>
      <c r="I749" s="3"/>
      <c r="J749" s="5"/>
      <c r="K749" s="3"/>
      <c r="L749" s="3"/>
      <c r="M749" s="3"/>
      <c r="N749" s="3"/>
      <c r="O749" s="3"/>
      <c r="P749" s="3"/>
      <c r="Q749" s="3"/>
      <c r="R749" s="3"/>
      <c r="S749" s="3"/>
      <c r="T749" s="3"/>
      <c r="U749" s="3"/>
      <c r="V749" s="3"/>
      <c r="W749" s="3"/>
      <c r="X749" s="3"/>
      <c r="Y749" s="3"/>
      <c r="Z749" s="3"/>
    </row>
    <row r="750">
      <c r="A750" s="3"/>
      <c r="B750" s="1"/>
      <c r="C750" s="1"/>
      <c r="D750" s="3"/>
      <c r="E750" s="5"/>
      <c r="F750" s="3"/>
      <c r="G750" s="3"/>
      <c r="H750" s="3"/>
      <c r="I750" s="3"/>
      <c r="J750" s="5"/>
      <c r="K750" s="3"/>
      <c r="L750" s="3"/>
      <c r="M750" s="3"/>
      <c r="N750" s="3"/>
      <c r="O750" s="3"/>
      <c r="P750" s="3"/>
      <c r="Q750" s="3"/>
      <c r="R750" s="3"/>
      <c r="S750" s="3"/>
      <c r="T750" s="3"/>
      <c r="U750" s="3"/>
      <c r="V750" s="3"/>
      <c r="W750" s="3"/>
      <c r="X750" s="3"/>
      <c r="Y750" s="3"/>
      <c r="Z750" s="3"/>
    </row>
    <row r="751">
      <c r="A751" s="3"/>
      <c r="B751" s="1"/>
      <c r="C751" s="1"/>
      <c r="D751" s="3"/>
      <c r="E751" s="5"/>
      <c r="F751" s="3"/>
      <c r="G751" s="3"/>
      <c r="H751" s="3"/>
      <c r="I751" s="3"/>
      <c r="J751" s="5"/>
      <c r="K751" s="3"/>
      <c r="L751" s="3"/>
      <c r="M751" s="3"/>
      <c r="N751" s="3"/>
      <c r="O751" s="3"/>
      <c r="P751" s="3"/>
      <c r="Q751" s="3"/>
      <c r="R751" s="3"/>
      <c r="S751" s="3"/>
      <c r="T751" s="3"/>
      <c r="U751" s="3"/>
      <c r="V751" s="3"/>
      <c r="W751" s="3"/>
      <c r="X751" s="3"/>
      <c r="Y751" s="3"/>
      <c r="Z751" s="3"/>
    </row>
    <row r="752">
      <c r="A752" s="3"/>
      <c r="B752" s="1"/>
      <c r="C752" s="1"/>
      <c r="D752" s="3"/>
      <c r="E752" s="5"/>
      <c r="F752" s="3"/>
      <c r="G752" s="3"/>
      <c r="H752" s="3"/>
      <c r="I752" s="3"/>
      <c r="J752" s="5"/>
      <c r="K752" s="3"/>
      <c r="L752" s="3"/>
      <c r="M752" s="3"/>
      <c r="N752" s="3"/>
      <c r="O752" s="3"/>
      <c r="P752" s="3"/>
      <c r="Q752" s="3"/>
      <c r="R752" s="3"/>
      <c r="S752" s="3"/>
      <c r="T752" s="3"/>
      <c r="U752" s="3"/>
      <c r="V752" s="3"/>
      <c r="W752" s="3"/>
      <c r="X752" s="3"/>
      <c r="Y752" s="3"/>
      <c r="Z752" s="3"/>
    </row>
    <row r="753">
      <c r="A753" s="3"/>
      <c r="B753" s="1"/>
      <c r="C753" s="1"/>
      <c r="D753" s="3"/>
      <c r="E753" s="5"/>
      <c r="F753" s="3"/>
      <c r="G753" s="3"/>
      <c r="H753" s="3"/>
      <c r="I753" s="3"/>
      <c r="J753" s="5"/>
      <c r="K753" s="3"/>
      <c r="L753" s="3"/>
      <c r="M753" s="3"/>
      <c r="N753" s="3"/>
      <c r="O753" s="3"/>
      <c r="P753" s="3"/>
      <c r="Q753" s="3"/>
      <c r="R753" s="3"/>
      <c r="S753" s="3"/>
      <c r="T753" s="3"/>
      <c r="U753" s="3"/>
      <c r="V753" s="3"/>
      <c r="W753" s="3"/>
      <c r="X753" s="3"/>
      <c r="Y753" s="3"/>
      <c r="Z753" s="3"/>
    </row>
    <row r="754">
      <c r="A754" s="3"/>
      <c r="B754" s="1"/>
      <c r="C754" s="1"/>
      <c r="D754" s="3"/>
      <c r="E754" s="5"/>
      <c r="F754" s="3"/>
      <c r="G754" s="3"/>
      <c r="H754" s="3"/>
      <c r="I754" s="3"/>
      <c r="J754" s="5"/>
      <c r="K754" s="3"/>
      <c r="L754" s="3"/>
      <c r="M754" s="3"/>
      <c r="N754" s="3"/>
      <c r="O754" s="3"/>
      <c r="P754" s="3"/>
      <c r="Q754" s="3"/>
      <c r="R754" s="3"/>
      <c r="S754" s="3"/>
      <c r="T754" s="3"/>
      <c r="U754" s="3"/>
      <c r="V754" s="3"/>
      <c r="W754" s="3"/>
      <c r="X754" s="3"/>
      <c r="Y754" s="3"/>
      <c r="Z754" s="3"/>
    </row>
    <row r="755">
      <c r="A755" s="3"/>
      <c r="B755" s="1"/>
      <c r="C755" s="1"/>
      <c r="D755" s="3"/>
      <c r="E755" s="5"/>
      <c r="F755" s="3"/>
      <c r="G755" s="3"/>
      <c r="H755" s="3"/>
      <c r="I755" s="3"/>
      <c r="J755" s="5"/>
      <c r="K755" s="3"/>
      <c r="L755" s="3"/>
      <c r="M755" s="3"/>
      <c r="N755" s="3"/>
      <c r="O755" s="3"/>
      <c r="P755" s="3"/>
      <c r="Q755" s="3"/>
      <c r="R755" s="3"/>
      <c r="S755" s="3"/>
      <c r="T755" s="3"/>
      <c r="U755" s="3"/>
      <c r="V755" s="3"/>
      <c r="W755" s="3"/>
      <c r="X755" s="3"/>
      <c r="Y755" s="3"/>
      <c r="Z755" s="3"/>
    </row>
    <row r="756">
      <c r="A756" s="3"/>
      <c r="B756" s="1"/>
      <c r="C756" s="1"/>
      <c r="D756" s="3"/>
      <c r="E756" s="5"/>
      <c r="F756" s="3"/>
      <c r="G756" s="3"/>
      <c r="H756" s="3"/>
      <c r="I756" s="3"/>
      <c r="J756" s="5"/>
      <c r="K756" s="3"/>
      <c r="L756" s="3"/>
      <c r="M756" s="3"/>
      <c r="N756" s="3"/>
      <c r="O756" s="3"/>
      <c r="P756" s="3"/>
      <c r="Q756" s="3"/>
      <c r="R756" s="3"/>
      <c r="S756" s="3"/>
      <c r="T756" s="3"/>
      <c r="U756" s="3"/>
      <c r="V756" s="3"/>
      <c r="W756" s="3"/>
      <c r="X756" s="3"/>
      <c r="Y756" s="3"/>
      <c r="Z756" s="3"/>
    </row>
    <row r="757">
      <c r="A757" s="3"/>
      <c r="B757" s="1"/>
      <c r="C757" s="1"/>
      <c r="D757" s="3"/>
      <c r="E757" s="5"/>
      <c r="F757" s="3"/>
      <c r="G757" s="3"/>
      <c r="H757" s="3"/>
      <c r="I757" s="3"/>
      <c r="J757" s="5"/>
      <c r="K757" s="3"/>
      <c r="L757" s="3"/>
      <c r="M757" s="3"/>
      <c r="N757" s="3"/>
      <c r="O757" s="3"/>
      <c r="P757" s="3"/>
      <c r="Q757" s="3"/>
      <c r="R757" s="3"/>
      <c r="S757" s="3"/>
      <c r="T757" s="3"/>
      <c r="U757" s="3"/>
      <c r="V757" s="3"/>
      <c r="W757" s="3"/>
      <c r="X757" s="3"/>
      <c r="Y757" s="3"/>
      <c r="Z757" s="3"/>
    </row>
    <row r="758">
      <c r="A758" s="3"/>
      <c r="B758" s="1"/>
      <c r="C758" s="1"/>
      <c r="D758" s="3"/>
      <c r="E758" s="5"/>
      <c r="F758" s="3"/>
      <c r="G758" s="3"/>
      <c r="H758" s="3"/>
      <c r="I758" s="3"/>
      <c r="J758" s="5"/>
      <c r="K758" s="3"/>
      <c r="L758" s="3"/>
      <c r="M758" s="3"/>
      <c r="N758" s="3"/>
      <c r="O758" s="3"/>
      <c r="P758" s="3"/>
      <c r="Q758" s="3"/>
      <c r="R758" s="3"/>
      <c r="S758" s="3"/>
      <c r="T758" s="3"/>
      <c r="U758" s="3"/>
      <c r="V758" s="3"/>
      <c r="W758" s="3"/>
      <c r="X758" s="3"/>
      <c r="Y758" s="3"/>
      <c r="Z758" s="3"/>
    </row>
    <row r="759">
      <c r="A759" s="3"/>
      <c r="B759" s="1"/>
      <c r="C759" s="1"/>
      <c r="D759" s="3"/>
      <c r="E759" s="5"/>
      <c r="F759" s="3"/>
      <c r="G759" s="3"/>
      <c r="H759" s="3"/>
      <c r="I759" s="3"/>
      <c r="J759" s="5"/>
      <c r="K759" s="3"/>
      <c r="L759" s="3"/>
      <c r="M759" s="3"/>
      <c r="N759" s="3"/>
      <c r="O759" s="3"/>
      <c r="P759" s="3"/>
      <c r="Q759" s="3"/>
      <c r="R759" s="3"/>
      <c r="S759" s="3"/>
      <c r="T759" s="3"/>
      <c r="U759" s="3"/>
      <c r="V759" s="3"/>
      <c r="W759" s="3"/>
      <c r="X759" s="3"/>
      <c r="Y759" s="3"/>
      <c r="Z759" s="3"/>
    </row>
    <row r="760">
      <c r="A760" s="3"/>
      <c r="B760" s="1"/>
      <c r="C760" s="1"/>
      <c r="D760" s="3"/>
      <c r="E760" s="5"/>
      <c r="F760" s="3"/>
      <c r="G760" s="3"/>
      <c r="H760" s="3"/>
      <c r="I760" s="3"/>
      <c r="J760" s="5"/>
      <c r="K760" s="3"/>
      <c r="L760" s="3"/>
      <c r="M760" s="3"/>
      <c r="N760" s="3"/>
      <c r="O760" s="3"/>
      <c r="P760" s="3"/>
      <c r="Q760" s="3"/>
      <c r="R760" s="3"/>
      <c r="S760" s="3"/>
      <c r="T760" s="3"/>
      <c r="U760" s="3"/>
      <c r="V760" s="3"/>
      <c r="W760" s="3"/>
      <c r="X760" s="3"/>
      <c r="Y760" s="3"/>
      <c r="Z760" s="3"/>
    </row>
    <row r="761">
      <c r="A761" s="3"/>
      <c r="B761" s="1"/>
      <c r="C761" s="1"/>
      <c r="D761" s="3"/>
      <c r="E761" s="5"/>
      <c r="F761" s="3"/>
      <c r="G761" s="3"/>
      <c r="H761" s="3"/>
      <c r="I761" s="3"/>
      <c r="J761" s="5"/>
      <c r="K761" s="3"/>
      <c r="L761" s="3"/>
      <c r="M761" s="3"/>
      <c r="N761" s="3"/>
      <c r="O761" s="3"/>
      <c r="P761" s="3"/>
      <c r="Q761" s="3"/>
      <c r="R761" s="3"/>
      <c r="S761" s="3"/>
      <c r="T761" s="3"/>
      <c r="U761" s="3"/>
      <c r="V761" s="3"/>
      <c r="W761" s="3"/>
      <c r="X761" s="3"/>
      <c r="Y761" s="3"/>
      <c r="Z761" s="3"/>
    </row>
    <row r="762">
      <c r="A762" s="3"/>
      <c r="B762" s="1"/>
      <c r="C762" s="1"/>
      <c r="D762" s="3"/>
      <c r="E762" s="5"/>
      <c r="F762" s="3"/>
      <c r="G762" s="3"/>
      <c r="H762" s="3"/>
      <c r="I762" s="3"/>
      <c r="J762" s="5"/>
      <c r="K762" s="3"/>
      <c r="L762" s="3"/>
      <c r="M762" s="3"/>
      <c r="N762" s="3"/>
      <c r="O762" s="3"/>
      <c r="P762" s="3"/>
      <c r="Q762" s="3"/>
      <c r="R762" s="3"/>
      <c r="S762" s="3"/>
      <c r="T762" s="3"/>
      <c r="U762" s="3"/>
      <c r="V762" s="3"/>
      <c r="W762" s="3"/>
      <c r="X762" s="3"/>
      <c r="Y762" s="3"/>
      <c r="Z762" s="3"/>
    </row>
    <row r="763">
      <c r="A763" s="3"/>
      <c r="B763" s="1"/>
      <c r="C763" s="1"/>
      <c r="D763" s="3"/>
      <c r="E763" s="5"/>
      <c r="F763" s="3"/>
      <c r="G763" s="3"/>
      <c r="H763" s="3"/>
      <c r="I763" s="3"/>
      <c r="J763" s="5"/>
      <c r="K763" s="3"/>
      <c r="L763" s="3"/>
      <c r="M763" s="3"/>
      <c r="N763" s="3"/>
      <c r="O763" s="3"/>
      <c r="P763" s="3"/>
      <c r="Q763" s="3"/>
      <c r="R763" s="3"/>
      <c r="S763" s="3"/>
      <c r="T763" s="3"/>
      <c r="U763" s="3"/>
      <c r="V763" s="3"/>
      <c r="W763" s="3"/>
      <c r="X763" s="3"/>
      <c r="Y763" s="3"/>
      <c r="Z763" s="3"/>
    </row>
    <row r="764">
      <c r="A764" s="3"/>
      <c r="B764" s="1"/>
      <c r="C764" s="1"/>
      <c r="D764" s="3"/>
      <c r="E764" s="5"/>
      <c r="F764" s="3"/>
      <c r="G764" s="3"/>
      <c r="H764" s="3"/>
      <c r="I764" s="3"/>
      <c r="J764" s="5"/>
      <c r="K764" s="3"/>
      <c r="L764" s="3"/>
      <c r="M764" s="3"/>
      <c r="N764" s="3"/>
      <c r="O764" s="3"/>
      <c r="P764" s="3"/>
      <c r="Q764" s="3"/>
      <c r="R764" s="3"/>
      <c r="S764" s="3"/>
      <c r="T764" s="3"/>
      <c r="U764" s="3"/>
      <c r="V764" s="3"/>
      <c r="W764" s="3"/>
      <c r="X764" s="3"/>
      <c r="Y764" s="3"/>
      <c r="Z764" s="3"/>
    </row>
    <row r="765">
      <c r="A765" s="3"/>
      <c r="B765" s="1"/>
      <c r="C765" s="1"/>
      <c r="D765" s="3"/>
      <c r="E765" s="5"/>
      <c r="F765" s="3"/>
      <c r="G765" s="3"/>
      <c r="H765" s="3"/>
      <c r="I765" s="3"/>
      <c r="J765" s="5"/>
      <c r="K765" s="3"/>
      <c r="L765" s="3"/>
      <c r="M765" s="3"/>
      <c r="N765" s="3"/>
      <c r="O765" s="3"/>
      <c r="P765" s="3"/>
      <c r="Q765" s="3"/>
      <c r="R765" s="3"/>
      <c r="S765" s="3"/>
      <c r="T765" s="3"/>
      <c r="U765" s="3"/>
      <c r="V765" s="3"/>
      <c r="W765" s="3"/>
      <c r="X765" s="3"/>
      <c r="Y765" s="3"/>
      <c r="Z765" s="3"/>
    </row>
    <row r="766">
      <c r="A766" s="3"/>
      <c r="B766" s="1"/>
      <c r="C766" s="1"/>
      <c r="D766" s="3"/>
      <c r="E766" s="5"/>
      <c r="F766" s="3"/>
      <c r="G766" s="3"/>
      <c r="H766" s="3"/>
      <c r="I766" s="3"/>
      <c r="J766" s="5"/>
      <c r="K766" s="3"/>
      <c r="L766" s="3"/>
      <c r="M766" s="3"/>
      <c r="N766" s="3"/>
      <c r="O766" s="3"/>
      <c r="P766" s="3"/>
      <c r="Q766" s="3"/>
      <c r="R766" s="3"/>
      <c r="S766" s="3"/>
      <c r="T766" s="3"/>
      <c r="U766" s="3"/>
      <c r="V766" s="3"/>
      <c r="W766" s="3"/>
      <c r="X766" s="3"/>
      <c r="Y766" s="3"/>
      <c r="Z766" s="3"/>
    </row>
    <row r="767">
      <c r="A767" s="3"/>
      <c r="B767" s="1"/>
      <c r="C767" s="1"/>
      <c r="D767" s="3"/>
      <c r="E767" s="5"/>
      <c r="F767" s="3"/>
      <c r="G767" s="3"/>
      <c r="H767" s="3"/>
      <c r="I767" s="3"/>
      <c r="J767" s="5"/>
      <c r="K767" s="3"/>
      <c r="L767" s="3"/>
      <c r="M767" s="3"/>
      <c r="N767" s="3"/>
      <c r="O767" s="3"/>
      <c r="P767" s="3"/>
      <c r="Q767" s="3"/>
      <c r="R767" s="3"/>
      <c r="S767" s="3"/>
      <c r="T767" s="3"/>
      <c r="U767" s="3"/>
      <c r="V767" s="3"/>
      <c r="W767" s="3"/>
      <c r="X767" s="3"/>
      <c r="Y767" s="3"/>
      <c r="Z767" s="3"/>
    </row>
    <row r="768">
      <c r="A768" s="3"/>
      <c r="B768" s="1"/>
      <c r="C768" s="1"/>
      <c r="D768" s="3"/>
      <c r="E768" s="5"/>
      <c r="F768" s="3"/>
      <c r="G768" s="3"/>
      <c r="H768" s="3"/>
      <c r="I768" s="3"/>
      <c r="J768" s="5"/>
      <c r="K768" s="3"/>
      <c r="L768" s="3"/>
      <c r="M768" s="3"/>
      <c r="N768" s="3"/>
      <c r="O768" s="3"/>
      <c r="P768" s="3"/>
      <c r="Q768" s="3"/>
      <c r="R768" s="3"/>
      <c r="S768" s="3"/>
      <c r="T768" s="3"/>
      <c r="U768" s="3"/>
      <c r="V768" s="3"/>
      <c r="W768" s="3"/>
      <c r="X768" s="3"/>
      <c r="Y768" s="3"/>
      <c r="Z768" s="3"/>
    </row>
    <row r="769">
      <c r="A769" s="3"/>
      <c r="B769" s="1"/>
      <c r="C769" s="1"/>
      <c r="D769" s="3"/>
      <c r="E769" s="5"/>
      <c r="F769" s="3"/>
      <c r="G769" s="3"/>
      <c r="H769" s="3"/>
      <c r="I769" s="3"/>
      <c r="J769" s="5"/>
      <c r="K769" s="3"/>
      <c r="L769" s="3"/>
      <c r="M769" s="3"/>
      <c r="N769" s="3"/>
      <c r="O769" s="3"/>
      <c r="P769" s="3"/>
      <c r="Q769" s="3"/>
      <c r="R769" s="3"/>
      <c r="S769" s="3"/>
      <c r="T769" s="3"/>
      <c r="U769" s="3"/>
      <c r="V769" s="3"/>
      <c r="W769" s="3"/>
      <c r="X769" s="3"/>
      <c r="Y769" s="3"/>
      <c r="Z769" s="3"/>
    </row>
    <row r="770">
      <c r="A770" s="3"/>
      <c r="B770" s="1"/>
      <c r="C770" s="1"/>
      <c r="D770" s="3"/>
      <c r="E770" s="5"/>
      <c r="F770" s="3"/>
      <c r="G770" s="3"/>
      <c r="H770" s="3"/>
      <c r="I770" s="3"/>
      <c r="J770" s="5"/>
      <c r="K770" s="3"/>
      <c r="L770" s="3"/>
      <c r="M770" s="3"/>
      <c r="N770" s="3"/>
      <c r="O770" s="3"/>
      <c r="P770" s="3"/>
      <c r="Q770" s="3"/>
      <c r="R770" s="3"/>
      <c r="S770" s="3"/>
      <c r="T770" s="3"/>
      <c r="U770" s="3"/>
      <c r="V770" s="3"/>
      <c r="W770" s="3"/>
      <c r="X770" s="3"/>
      <c r="Y770" s="3"/>
      <c r="Z770" s="3"/>
    </row>
    <row r="771">
      <c r="A771" s="3"/>
      <c r="B771" s="1"/>
      <c r="C771" s="1"/>
      <c r="D771" s="3"/>
      <c r="E771" s="5"/>
      <c r="F771" s="3"/>
      <c r="G771" s="3"/>
      <c r="H771" s="3"/>
      <c r="I771" s="3"/>
      <c r="J771" s="5"/>
      <c r="K771" s="3"/>
      <c r="L771" s="3"/>
      <c r="M771" s="3"/>
      <c r="N771" s="3"/>
      <c r="O771" s="3"/>
      <c r="P771" s="3"/>
      <c r="Q771" s="3"/>
      <c r="R771" s="3"/>
      <c r="S771" s="3"/>
      <c r="T771" s="3"/>
      <c r="U771" s="3"/>
      <c r="V771" s="3"/>
      <c r="W771" s="3"/>
      <c r="X771" s="3"/>
      <c r="Y771" s="3"/>
      <c r="Z771" s="3"/>
    </row>
    <row r="772">
      <c r="A772" s="3"/>
      <c r="B772" s="1"/>
      <c r="C772" s="1"/>
      <c r="D772" s="3"/>
      <c r="E772" s="5"/>
      <c r="F772" s="3"/>
      <c r="G772" s="3"/>
      <c r="H772" s="3"/>
      <c r="I772" s="3"/>
      <c r="J772" s="5"/>
      <c r="K772" s="3"/>
      <c r="L772" s="3"/>
      <c r="M772" s="3"/>
      <c r="N772" s="3"/>
      <c r="O772" s="3"/>
      <c r="P772" s="3"/>
      <c r="Q772" s="3"/>
      <c r="R772" s="3"/>
      <c r="S772" s="3"/>
      <c r="T772" s="3"/>
      <c r="U772" s="3"/>
      <c r="V772" s="3"/>
      <c r="W772" s="3"/>
      <c r="X772" s="3"/>
      <c r="Y772" s="3"/>
      <c r="Z772" s="3"/>
    </row>
    <row r="773">
      <c r="A773" s="3"/>
      <c r="B773" s="1"/>
      <c r="C773" s="1"/>
      <c r="D773" s="3"/>
      <c r="E773" s="5"/>
      <c r="F773" s="3"/>
      <c r="G773" s="3"/>
      <c r="H773" s="3"/>
      <c r="I773" s="3"/>
      <c r="J773" s="5"/>
      <c r="K773" s="3"/>
      <c r="L773" s="3"/>
      <c r="M773" s="3"/>
      <c r="N773" s="3"/>
      <c r="O773" s="3"/>
      <c r="P773" s="3"/>
      <c r="Q773" s="3"/>
      <c r="R773" s="3"/>
      <c r="S773" s="3"/>
      <c r="T773" s="3"/>
      <c r="U773" s="3"/>
      <c r="V773" s="3"/>
      <c r="W773" s="3"/>
      <c r="X773" s="3"/>
      <c r="Y773" s="3"/>
      <c r="Z773" s="3"/>
    </row>
    <row r="774">
      <c r="A774" s="3"/>
      <c r="B774" s="1"/>
      <c r="C774" s="1"/>
      <c r="D774" s="3"/>
      <c r="E774" s="5"/>
      <c r="F774" s="3"/>
      <c r="G774" s="3"/>
      <c r="H774" s="3"/>
      <c r="I774" s="3"/>
      <c r="J774" s="5"/>
      <c r="K774" s="3"/>
      <c r="L774" s="3"/>
      <c r="M774" s="3"/>
      <c r="N774" s="3"/>
      <c r="O774" s="3"/>
      <c r="P774" s="3"/>
      <c r="Q774" s="3"/>
      <c r="R774" s="3"/>
      <c r="S774" s="3"/>
      <c r="T774" s="3"/>
      <c r="U774" s="3"/>
      <c r="V774" s="3"/>
      <c r="W774" s="3"/>
      <c r="X774" s="3"/>
      <c r="Y774" s="3"/>
      <c r="Z774" s="3"/>
    </row>
    <row r="775">
      <c r="A775" s="3"/>
      <c r="B775" s="1"/>
      <c r="C775" s="1"/>
      <c r="D775" s="3"/>
      <c r="E775" s="5"/>
      <c r="F775" s="3"/>
      <c r="G775" s="3"/>
      <c r="H775" s="3"/>
      <c r="I775" s="3"/>
      <c r="J775" s="5"/>
      <c r="K775" s="3"/>
      <c r="L775" s="3"/>
      <c r="M775" s="3"/>
      <c r="N775" s="3"/>
      <c r="O775" s="3"/>
      <c r="P775" s="3"/>
      <c r="Q775" s="3"/>
      <c r="R775" s="3"/>
      <c r="S775" s="3"/>
      <c r="T775" s="3"/>
      <c r="U775" s="3"/>
      <c r="V775" s="3"/>
      <c r="W775" s="3"/>
      <c r="X775" s="3"/>
      <c r="Y775" s="3"/>
      <c r="Z775" s="3"/>
    </row>
    <row r="776">
      <c r="A776" s="3"/>
      <c r="B776" s="1"/>
      <c r="C776" s="1"/>
      <c r="D776" s="3"/>
      <c r="E776" s="5"/>
      <c r="F776" s="3"/>
      <c r="G776" s="3"/>
      <c r="H776" s="3"/>
      <c r="I776" s="3"/>
      <c r="J776" s="5"/>
      <c r="K776" s="3"/>
      <c r="L776" s="3"/>
      <c r="M776" s="3"/>
      <c r="N776" s="3"/>
      <c r="O776" s="3"/>
      <c r="P776" s="3"/>
      <c r="Q776" s="3"/>
      <c r="R776" s="3"/>
      <c r="S776" s="3"/>
      <c r="T776" s="3"/>
      <c r="U776" s="3"/>
      <c r="V776" s="3"/>
      <c r="W776" s="3"/>
      <c r="X776" s="3"/>
      <c r="Y776" s="3"/>
      <c r="Z776" s="3"/>
    </row>
    <row r="777">
      <c r="A777" s="3"/>
      <c r="B777" s="1"/>
      <c r="C777" s="1"/>
      <c r="D777" s="3"/>
      <c r="E777" s="5"/>
      <c r="F777" s="3"/>
      <c r="G777" s="3"/>
      <c r="H777" s="3"/>
      <c r="I777" s="3"/>
      <c r="J777" s="5"/>
      <c r="K777" s="3"/>
      <c r="L777" s="3"/>
      <c r="M777" s="3"/>
      <c r="N777" s="3"/>
      <c r="O777" s="3"/>
      <c r="P777" s="3"/>
      <c r="Q777" s="3"/>
      <c r="R777" s="3"/>
      <c r="S777" s="3"/>
      <c r="T777" s="3"/>
      <c r="U777" s="3"/>
      <c r="V777" s="3"/>
      <c r="W777" s="3"/>
      <c r="X777" s="3"/>
      <c r="Y777" s="3"/>
      <c r="Z777" s="3"/>
    </row>
    <row r="778">
      <c r="A778" s="3"/>
      <c r="B778" s="1"/>
      <c r="C778" s="1"/>
      <c r="D778" s="3"/>
      <c r="E778" s="5"/>
      <c r="F778" s="3"/>
      <c r="G778" s="3"/>
      <c r="H778" s="3"/>
      <c r="I778" s="3"/>
      <c r="J778" s="5"/>
      <c r="K778" s="3"/>
      <c r="L778" s="3"/>
      <c r="M778" s="3"/>
      <c r="N778" s="3"/>
      <c r="O778" s="3"/>
      <c r="P778" s="3"/>
      <c r="Q778" s="3"/>
      <c r="R778" s="3"/>
      <c r="S778" s="3"/>
      <c r="T778" s="3"/>
      <c r="U778" s="3"/>
      <c r="V778" s="3"/>
      <c r="W778" s="3"/>
      <c r="X778" s="3"/>
      <c r="Y778" s="3"/>
      <c r="Z778" s="3"/>
    </row>
    <row r="779">
      <c r="A779" s="3"/>
      <c r="B779" s="1"/>
      <c r="C779" s="1"/>
      <c r="D779" s="3"/>
      <c r="E779" s="5"/>
      <c r="F779" s="3"/>
      <c r="G779" s="3"/>
      <c r="H779" s="3"/>
      <c r="I779" s="3"/>
      <c r="J779" s="5"/>
      <c r="K779" s="3"/>
      <c r="L779" s="3"/>
      <c r="M779" s="3"/>
      <c r="N779" s="3"/>
      <c r="O779" s="3"/>
      <c r="P779" s="3"/>
      <c r="Q779" s="3"/>
      <c r="R779" s="3"/>
      <c r="S779" s="3"/>
      <c r="T779" s="3"/>
      <c r="U779" s="3"/>
      <c r="V779" s="3"/>
      <c r="W779" s="3"/>
      <c r="X779" s="3"/>
      <c r="Y779" s="3"/>
      <c r="Z779" s="3"/>
    </row>
    <row r="780">
      <c r="A780" s="3"/>
      <c r="B780" s="1"/>
      <c r="C780" s="1"/>
      <c r="D780" s="3"/>
      <c r="E780" s="5"/>
      <c r="F780" s="3"/>
      <c r="G780" s="3"/>
      <c r="H780" s="3"/>
      <c r="I780" s="3"/>
      <c r="J780" s="5"/>
      <c r="K780" s="3"/>
      <c r="L780" s="3"/>
      <c r="M780" s="3"/>
      <c r="N780" s="3"/>
      <c r="O780" s="3"/>
      <c r="P780" s="3"/>
      <c r="Q780" s="3"/>
      <c r="R780" s="3"/>
      <c r="S780" s="3"/>
      <c r="T780" s="3"/>
      <c r="U780" s="3"/>
      <c r="V780" s="3"/>
      <c r="W780" s="3"/>
      <c r="X780" s="3"/>
      <c r="Y780" s="3"/>
      <c r="Z780" s="3"/>
    </row>
    <row r="781">
      <c r="A781" s="3"/>
      <c r="B781" s="1"/>
      <c r="C781" s="1"/>
      <c r="D781" s="3"/>
      <c r="E781" s="5"/>
      <c r="F781" s="3"/>
      <c r="G781" s="3"/>
      <c r="H781" s="3"/>
      <c r="I781" s="3"/>
      <c r="J781" s="5"/>
      <c r="K781" s="3"/>
      <c r="L781" s="3"/>
      <c r="M781" s="3"/>
      <c r="N781" s="3"/>
      <c r="O781" s="3"/>
      <c r="P781" s="3"/>
      <c r="Q781" s="3"/>
      <c r="R781" s="3"/>
      <c r="S781" s="3"/>
      <c r="T781" s="3"/>
      <c r="U781" s="3"/>
      <c r="V781" s="3"/>
      <c r="W781" s="3"/>
      <c r="X781" s="3"/>
      <c r="Y781" s="3"/>
      <c r="Z781" s="3"/>
    </row>
    <row r="782">
      <c r="A782" s="3"/>
      <c r="B782" s="1"/>
      <c r="C782" s="1"/>
      <c r="D782" s="3"/>
      <c r="E782" s="5"/>
      <c r="F782" s="3"/>
      <c r="G782" s="3"/>
      <c r="H782" s="3"/>
      <c r="I782" s="3"/>
      <c r="J782" s="5"/>
      <c r="K782" s="3"/>
      <c r="L782" s="3"/>
      <c r="M782" s="3"/>
      <c r="N782" s="3"/>
      <c r="O782" s="3"/>
      <c r="P782" s="3"/>
      <c r="Q782" s="3"/>
      <c r="R782" s="3"/>
      <c r="S782" s="3"/>
      <c r="T782" s="3"/>
      <c r="U782" s="3"/>
      <c r="V782" s="3"/>
      <c r="W782" s="3"/>
      <c r="X782" s="3"/>
      <c r="Y782" s="3"/>
      <c r="Z782" s="3"/>
    </row>
    <row r="783">
      <c r="A783" s="3"/>
      <c r="B783" s="1"/>
      <c r="C783" s="1"/>
      <c r="D783" s="3"/>
      <c r="E783" s="5"/>
      <c r="F783" s="3"/>
      <c r="G783" s="3"/>
      <c r="H783" s="3"/>
      <c r="I783" s="3"/>
      <c r="J783" s="5"/>
      <c r="K783" s="3"/>
      <c r="L783" s="3"/>
      <c r="M783" s="3"/>
      <c r="N783" s="3"/>
      <c r="O783" s="3"/>
      <c r="P783" s="3"/>
      <c r="Q783" s="3"/>
      <c r="R783" s="3"/>
      <c r="S783" s="3"/>
      <c r="T783" s="3"/>
      <c r="U783" s="3"/>
      <c r="V783" s="3"/>
      <c r="W783" s="3"/>
      <c r="X783" s="3"/>
      <c r="Y783" s="3"/>
      <c r="Z783" s="3"/>
    </row>
    <row r="784">
      <c r="A784" s="3"/>
      <c r="B784" s="1"/>
      <c r="C784" s="1"/>
      <c r="D784" s="3"/>
      <c r="E784" s="5"/>
      <c r="F784" s="3"/>
      <c r="G784" s="3"/>
      <c r="H784" s="3"/>
      <c r="I784" s="3"/>
      <c r="J784" s="5"/>
      <c r="K784" s="3"/>
      <c r="L784" s="3"/>
      <c r="M784" s="3"/>
      <c r="N784" s="3"/>
      <c r="O784" s="3"/>
      <c r="P784" s="3"/>
      <c r="Q784" s="3"/>
      <c r="R784" s="3"/>
      <c r="S784" s="3"/>
      <c r="T784" s="3"/>
      <c r="U784" s="3"/>
      <c r="V784" s="3"/>
      <c r="W784" s="3"/>
      <c r="X784" s="3"/>
      <c r="Y784" s="3"/>
      <c r="Z784" s="3"/>
    </row>
    <row r="785">
      <c r="A785" s="3"/>
      <c r="B785" s="1"/>
      <c r="C785" s="1"/>
      <c r="D785" s="3"/>
      <c r="E785" s="5"/>
      <c r="F785" s="3"/>
      <c r="G785" s="3"/>
      <c r="H785" s="3"/>
      <c r="I785" s="3"/>
      <c r="J785" s="5"/>
      <c r="K785" s="3"/>
      <c r="L785" s="3"/>
      <c r="M785" s="3"/>
      <c r="N785" s="3"/>
      <c r="O785" s="3"/>
      <c r="P785" s="3"/>
      <c r="Q785" s="3"/>
      <c r="R785" s="3"/>
      <c r="S785" s="3"/>
      <c r="T785" s="3"/>
      <c r="U785" s="3"/>
      <c r="V785" s="3"/>
      <c r="W785" s="3"/>
      <c r="X785" s="3"/>
      <c r="Y785" s="3"/>
      <c r="Z785" s="3"/>
    </row>
    <row r="786">
      <c r="A786" s="3"/>
      <c r="B786" s="1"/>
      <c r="C786" s="1"/>
      <c r="D786" s="3"/>
      <c r="E786" s="5"/>
      <c r="F786" s="3"/>
      <c r="G786" s="3"/>
      <c r="H786" s="3"/>
      <c r="I786" s="3"/>
      <c r="J786" s="5"/>
      <c r="K786" s="3"/>
      <c r="L786" s="3"/>
      <c r="M786" s="3"/>
      <c r="N786" s="3"/>
      <c r="O786" s="3"/>
      <c r="P786" s="3"/>
      <c r="Q786" s="3"/>
      <c r="R786" s="3"/>
      <c r="S786" s="3"/>
      <c r="T786" s="3"/>
      <c r="U786" s="3"/>
      <c r="V786" s="3"/>
      <c r="W786" s="3"/>
      <c r="X786" s="3"/>
      <c r="Y786" s="3"/>
      <c r="Z786" s="3"/>
    </row>
    <row r="787">
      <c r="A787" s="3"/>
      <c r="B787" s="1"/>
      <c r="C787" s="1"/>
      <c r="D787" s="3"/>
      <c r="E787" s="5"/>
      <c r="F787" s="3"/>
      <c r="G787" s="3"/>
      <c r="H787" s="3"/>
      <c r="I787" s="3"/>
      <c r="J787" s="5"/>
      <c r="K787" s="3"/>
      <c r="L787" s="3"/>
      <c r="M787" s="3"/>
      <c r="N787" s="3"/>
      <c r="O787" s="3"/>
      <c r="P787" s="3"/>
      <c r="Q787" s="3"/>
      <c r="R787" s="3"/>
      <c r="S787" s="3"/>
      <c r="T787" s="3"/>
      <c r="U787" s="3"/>
      <c r="V787" s="3"/>
      <c r="W787" s="3"/>
      <c r="X787" s="3"/>
      <c r="Y787" s="3"/>
      <c r="Z787" s="3"/>
    </row>
    <row r="788">
      <c r="A788" s="3"/>
      <c r="B788" s="1"/>
      <c r="C788" s="1"/>
      <c r="D788" s="3"/>
      <c r="E788" s="5"/>
      <c r="F788" s="3"/>
      <c r="G788" s="3"/>
      <c r="H788" s="3"/>
      <c r="I788" s="3"/>
      <c r="J788" s="5"/>
      <c r="K788" s="3"/>
      <c r="L788" s="3"/>
      <c r="M788" s="3"/>
      <c r="N788" s="3"/>
      <c r="O788" s="3"/>
      <c r="P788" s="3"/>
      <c r="Q788" s="3"/>
      <c r="R788" s="3"/>
      <c r="S788" s="3"/>
      <c r="T788" s="3"/>
      <c r="U788" s="3"/>
      <c r="V788" s="3"/>
      <c r="W788" s="3"/>
      <c r="X788" s="3"/>
      <c r="Y788" s="3"/>
      <c r="Z788" s="3"/>
    </row>
    <row r="789">
      <c r="A789" s="3"/>
      <c r="B789" s="1"/>
      <c r="C789" s="1"/>
      <c r="D789" s="3"/>
      <c r="E789" s="5"/>
      <c r="F789" s="3"/>
      <c r="G789" s="3"/>
      <c r="H789" s="3"/>
      <c r="I789" s="3"/>
      <c r="J789" s="5"/>
      <c r="K789" s="3"/>
      <c r="L789" s="3"/>
      <c r="M789" s="3"/>
      <c r="N789" s="3"/>
      <c r="O789" s="3"/>
      <c r="P789" s="3"/>
      <c r="Q789" s="3"/>
      <c r="R789" s="3"/>
      <c r="S789" s="3"/>
      <c r="T789" s="3"/>
      <c r="U789" s="3"/>
      <c r="V789" s="3"/>
      <c r="W789" s="3"/>
      <c r="X789" s="3"/>
      <c r="Y789" s="3"/>
      <c r="Z789" s="3"/>
    </row>
    <row r="790">
      <c r="A790" s="3"/>
      <c r="B790" s="1"/>
      <c r="C790" s="1"/>
      <c r="D790" s="3"/>
      <c r="E790" s="5"/>
      <c r="F790" s="3"/>
      <c r="G790" s="3"/>
      <c r="H790" s="3"/>
      <c r="I790" s="3"/>
      <c r="J790" s="5"/>
      <c r="K790" s="3"/>
      <c r="L790" s="3"/>
      <c r="M790" s="3"/>
      <c r="N790" s="3"/>
      <c r="O790" s="3"/>
      <c r="P790" s="3"/>
      <c r="Q790" s="3"/>
      <c r="R790" s="3"/>
      <c r="S790" s="3"/>
      <c r="T790" s="3"/>
      <c r="U790" s="3"/>
      <c r="V790" s="3"/>
      <c r="W790" s="3"/>
      <c r="X790" s="3"/>
      <c r="Y790" s="3"/>
      <c r="Z790" s="3"/>
    </row>
    <row r="791">
      <c r="A791" s="3"/>
      <c r="B791" s="1"/>
      <c r="C791" s="1"/>
      <c r="D791" s="3"/>
      <c r="E791" s="5"/>
      <c r="F791" s="3"/>
      <c r="G791" s="3"/>
      <c r="H791" s="3"/>
      <c r="I791" s="3"/>
      <c r="J791" s="5"/>
      <c r="K791" s="3"/>
      <c r="L791" s="3"/>
      <c r="M791" s="3"/>
      <c r="N791" s="3"/>
      <c r="O791" s="3"/>
      <c r="P791" s="3"/>
      <c r="Q791" s="3"/>
      <c r="R791" s="3"/>
      <c r="S791" s="3"/>
      <c r="T791" s="3"/>
      <c r="U791" s="3"/>
      <c r="V791" s="3"/>
      <c r="W791" s="3"/>
      <c r="X791" s="3"/>
      <c r="Y791" s="3"/>
      <c r="Z791" s="3"/>
    </row>
    <row r="792">
      <c r="A792" s="3"/>
      <c r="B792" s="1"/>
      <c r="C792" s="1"/>
      <c r="D792" s="3"/>
      <c r="E792" s="5"/>
      <c r="F792" s="3"/>
      <c r="G792" s="3"/>
      <c r="H792" s="3"/>
      <c r="I792" s="3"/>
      <c r="J792" s="5"/>
      <c r="K792" s="3"/>
      <c r="L792" s="3"/>
      <c r="M792" s="3"/>
      <c r="N792" s="3"/>
      <c r="O792" s="3"/>
      <c r="P792" s="3"/>
      <c r="Q792" s="3"/>
      <c r="R792" s="3"/>
      <c r="S792" s="3"/>
      <c r="T792" s="3"/>
      <c r="U792" s="3"/>
      <c r="V792" s="3"/>
      <c r="W792" s="3"/>
      <c r="X792" s="3"/>
      <c r="Y792" s="3"/>
      <c r="Z792" s="3"/>
    </row>
    <row r="793">
      <c r="A793" s="3"/>
      <c r="B793" s="1"/>
      <c r="C793" s="1"/>
      <c r="D793" s="3"/>
      <c r="E793" s="5"/>
      <c r="F793" s="3"/>
      <c r="G793" s="3"/>
      <c r="H793" s="3"/>
      <c r="I793" s="3"/>
      <c r="J793" s="5"/>
      <c r="K793" s="3"/>
      <c r="L793" s="3"/>
      <c r="M793" s="3"/>
      <c r="N793" s="3"/>
      <c r="O793" s="3"/>
      <c r="P793" s="3"/>
      <c r="Q793" s="3"/>
      <c r="R793" s="3"/>
      <c r="S793" s="3"/>
      <c r="T793" s="3"/>
      <c r="U793" s="3"/>
      <c r="V793" s="3"/>
      <c r="W793" s="3"/>
      <c r="X793" s="3"/>
      <c r="Y793" s="3"/>
      <c r="Z793" s="3"/>
    </row>
    <row r="794">
      <c r="A794" s="3"/>
      <c r="B794" s="1"/>
      <c r="C794" s="1"/>
      <c r="D794" s="3"/>
      <c r="E794" s="5"/>
      <c r="F794" s="3"/>
      <c r="G794" s="3"/>
      <c r="H794" s="3"/>
      <c r="I794" s="3"/>
      <c r="J794" s="5"/>
      <c r="K794" s="3"/>
      <c r="L794" s="3"/>
      <c r="M794" s="3"/>
      <c r="N794" s="3"/>
      <c r="O794" s="3"/>
      <c r="P794" s="3"/>
      <c r="Q794" s="3"/>
      <c r="R794" s="3"/>
      <c r="S794" s="3"/>
      <c r="T794" s="3"/>
      <c r="U794" s="3"/>
      <c r="V794" s="3"/>
      <c r="W794" s="3"/>
      <c r="X794" s="3"/>
      <c r="Y794" s="3"/>
      <c r="Z794" s="3"/>
    </row>
    <row r="795">
      <c r="A795" s="3"/>
      <c r="B795" s="1"/>
      <c r="C795" s="1"/>
      <c r="D795" s="3"/>
      <c r="E795" s="5"/>
      <c r="F795" s="3"/>
      <c r="G795" s="3"/>
      <c r="H795" s="3"/>
      <c r="I795" s="3"/>
      <c r="J795" s="5"/>
      <c r="K795" s="3"/>
      <c r="L795" s="3"/>
      <c r="M795" s="3"/>
      <c r="N795" s="3"/>
      <c r="O795" s="3"/>
      <c r="P795" s="3"/>
      <c r="Q795" s="3"/>
      <c r="R795" s="3"/>
      <c r="S795" s="3"/>
      <c r="T795" s="3"/>
      <c r="U795" s="3"/>
      <c r="V795" s="3"/>
      <c r="W795" s="3"/>
      <c r="X795" s="3"/>
      <c r="Y795" s="3"/>
      <c r="Z795" s="3"/>
    </row>
    <row r="796">
      <c r="A796" s="3"/>
      <c r="B796" s="1"/>
      <c r="C796" s="1"/>
      <c r="D796" s="3"/>
      <c r="E796" s="5"/>
      <c r="F796" s="3"/>
      <c r="G796" s="3"/>
      <c r="H796" s="3"/>
      <c r="I796" s="3"/>
      <c r="J796" s="5"/>
      <c r="K796" s="3"/>
      <c r="L796" s="3"/>
      <c r="M796" s="3"/>
      <c r="N796" s="3"/>
      <c r="O796" s="3"/>
      <c r="P796" s="3"/>
      <c r="Q796" s="3"/>
      <c r="R796" s="3"/>
      <c r="S796" s="3"/>
      <c r="T796" s="3"/>
      <c r="U796" s="3"/>
      <c r="V796" s="3"/>
      <c r="W796" s="3"/>
      <c r="X796" s="3"/>
      <c r="Y796" s="3"/>
      <c r="Z796" s="3"/>
    </row>
    <row r="797">
      <c r="A797" s="3"/>
      <c r="B797" s="1"/>
      <c r="C797" s="1"/>
      <c r="D797" s="3"/>
      <c r="E797" s="5"/>
      <c r="F797" s="3"/>
      <c r="G797" s="3"/>
      <c r="H797" s="3"/>
      <c r="I797" s="3"/>
      <c r="J797" s="5"/>
      <c r="K797" s="3"/>
      <c r="L797" s="3"/>
      <c r="M797" s="3"/>
      <c r="N797" s="3"/>
      <c r="O797" s="3"/>
      <c r="P797" s="3"/>
      <c r="Q797" s="3"/>
      <c r="R797" s="3"/>
      <c r="S797" s="3"/>
      <c r="T797" s="3"/>
      <c r="U797" s="3"/>
      <c r="V797" s="3"/>
      <c r="W797" s="3"/>
      <c r="X797" s="3"/>
      <c r="Y797" s="3"/>
      <c r="Z797" s="3"/>
    </row>
    <row r="798">
      <c r="A798" s="3"/>
      <c r="B798" s="1"/>
      <c r="C798" s="1"/>
      <c r="D798" s="3"/>
      <c r="E798" s="5"/>
      <c r="F798" s="3"/>
      <c r="G798" s="3"/>
      <c r="H798" s="3"/>
      <c r="I798" s="3"/>
      <c r="J798" s="5"/>
      <c r="K798" s="3"/>
      <c r="L798" s="3"/>
      <c r="M798" s="3"/>
      <c r="N798" s="3"/>
      <c r="O798" s="3"/>
      <c r="P798" s="3"/>
      <c r="Q798" s="3"/>
      <c r="R798" s="3"/>
      <c r="S798" s="3"/>
      <c r="T798" s="3"/>
      <c r="U798" s="3"/>
      <c r="V798" s="3"/>
      <c r="W798" s="3"/>
      <c r="X798" s="3"/>
      <c r="Y798" s="3"/>
      <c r="Z798" s="3"/>
    </row>
    <row r="799">
      <c r="A799" s="3"/>
      <c r="B799" s="1"/>
      <c r="C799" s="1"/>
      <c r="D799" s="3"/>
      <c r="E799" s="5"/>
      <c r="F799" s="3"/>
      <c r="G799" s="3"/>
      <c r="H799" s="3"/>
      <c r="I799" s="3"/>
      <c r="J799" s="5"/>
      <c r="K799" s="3"/>
      <c r="L799" s="3"/>
      <c r="M799" s="3"/>
      <c r="N799" s="3"/>
      <c r="O799" s="3"/>
      <c r="P799" s="3"/>
      <c r="Q799" s="3"/>
      <c r="R799" s="3"/>
      <c r="S799" s="3"/>
      <c r="T799" s="3"/>
      <c r="U799" s="3"/>
      <c r="V799" s="3"/>
      <c r="W799" s="3"/>
      <c r="X799" s="3"/>
      <c r="Y799" s="3"/>
      <c r="Z799" s="3"/>
    </row>
    <row r="800">
      <c r="A800" s="3"/>
      <c r="B800" s="1"/>
      <c r="C800" s="1"/>
      <c r="D800" s="3"/>
      <c r="E800" s="5"/>
      <c r="F800" s="3"/>
      <c r="G800" s="3"/>
      <c r="H800" s="3"/>
      <c r="I800" s="3"/>
      <c r="J800" s="5"/>
      <c r="K800" s="3"/>
      <c r="L800" s="3"/>
      <c r="M800" s="3"/>
      <c r="N800" s="3"/>
      <c r="O800" s="3"/>
      <c r="P800" s="3"/>
      <c r="Q800" s="3"/>
      <c r="R800" s="3"/>
      <c r="S800" s="3"/>
      <c r="T800" s="3"/>
      <c r="U800" s="3"/>
      <c r="V800" s="3"/>
      <c r="W800" s="3"/>
      <c r="X800" s="3"/>
      <c r="Y800" s="3"/>
      <c r="Z800" s="3"/>
    </row>
    <row r="801">
      <c r="A801" s="3"/>
      <c r="B801" s="1"/>
      <c r="C801" s="1"/>
      <c r="D801" s="3"/>
      <c r="E801" s="5"/>
      <c r="F801" s="3"/>
      <c r="G801" s="3"/>
      <c r="H801" s="3"/>
      <c r="I801" s="3"/>
      <c r="J801" s="5"/>
      <c r="K801" s="3"/>
      <c r="L801" s="3"/>
      <c r="M801" s="3"/>
      <c r="N801" s="3"/>
      <c r="O801" s="3"/>
      <c r="P801" s="3"/>
      <c r="Q801" s="3"/>
      <c r="R801" s="3"/>
      <c r="S801" s="3"/>
      <c r="T801" s="3"/>
      <c r="U801" s="3"/>
      <c r="V801" s="3"/>
      <c r="W801" s="3"/>
      <c r="X801" s="3"/>
      <c r="Y801" s="3"/>
      <c r="Z801" s="3"/>
    </row>
    <row r="802">
      <c r="A802" s="3"/>
      <c r="B802" s="1"/>
      <c r="C802" s="1"/>
      <c r="D802" s="3"/>
      <c r="E802" s="5"/>
      <c r="F802" s="3"/>
      <c r="G802" s="3"/>
      <c r="H802" s="3"/>
      <c r="I802" s="3"/>
      <c r="J802" s="5"/>
      <c r="K802" s="3"/>
      <c r="L802" s="3"/>
      <c r="M802" s="3"/>
      <c r="N802" s="3"/>
      <c r="O802" s="3"/>
      <c r="P802" s="3"/>
      <c r="Q802" s="3"/>
      <c r="R802" s="3"/>
      <c r="S802" s="3"/>
      <c r="T802" s="3"/>
      <c r="U802" s="3"/>
      <c r="V802" s="3"/>
      <c r="W802" s="3"/>
      <c r="X802" s="3"/>
      <c r="Y802" s="3"/>
      <c r="Z802" s="3"/>
    </row>
    <row r="803">
      <c r="A803" s="3"/>
      <c r="B803" s="1"/>
      <c r="C803" s="1"/>
      <c r="D803" s="3"/>
      <c r="E803" s="5"/>
      <c r="F803" s="3"/>
      <c r="G803" s="3"/>
      <c r="H803" s="3"/>
      <c r="I803" s="3"/>
      <c r="J803" s="5"/>
      <c r="K803" s="3"/>
      <c r="L803" s="3"/>
      <c r="M803" s="3"/>
      <c r="N803" s="3"/>
      <c r="O803" s="3"/>
      <c r="P803" s="3"/>
      <c r="Q803" s="3"/>
      <c r="R803" s="3"/>
      <c r="S803" s="3"/>
      <c r="T803" s="3"/>
      <c r="U803" s="3"/>
      <c r="V803" s="3"/>
      <c r="W803" s="3"/>
      <c r="X803" s="3"/>
      <c r="Y803" s="3"/>
      <c r="Z803" s="3"/>
    </row>
    <row r="804">
      <c r="A804" s="3"/>
      <c r="B804" s="1"/>
      <c r="C804" s="1"/>
      <c r="D804" s="3"/>
      <c r="E804" s="5"/>
      <c r="F804" s="3"/>
      <c r="G804" s="3"/>
      <c r="H804" s="3"/>
      <c r="I804" s="3"/>
      <c r="J804" s="5"/>
      <c r="K804" s="3"/>
      <c r="L804" s="3"/>
      <c r="M804" s="3"/>
      <c r="N804" s="3"/>
      <c r="O804" s="3"/>
      <c r="P804" s="3"/>
      <c r="Q804" s="3"/>
      <c r="R804" s="3"/>
      <c r="S804" s="3"/>
      <c r="T804" s="3"/>
      <c r="U804" s="3"/>
      <c r="V804" s="3"/>
      <c r="W804" s="3"/>
      <c r="X804" s="3"/>
      <c r="Y804" s="3"/>
      <c r="Z804" s="3"/>
    </row>
    <row r="805">
      <c r="A805" s="3"/>
      <c r="B805" s="1"/>
      <c r="C805" s="1"/>
      <c r="D805" s="3"/>
      <c r="E805" s="5"/>
      <c r="F805" s="3"/>
      <c r="G805" s="3"/>
      <c r="H805" s="3"/>
      <c r="I805" s="3"/>
      <c r="J805" s="5"/>
      <c r="K805" s="3"/>
      <c r="L805" s="3"/>
      <c r="M805" s="3"/>
      <c r="N805" s="3"/>
      <c r="O805" s="3"/>
      <c r="P805" s="3"/>
      <c r="Q805" s="3"/>
      <c r="R805" s="3"/>
      <c r="S805" s="3"/>
      <c r="T805" s="3"/>
      <c r="U805" s="3"/>
      <c r="V805" s="3"/>
      <c r="W805" s="3"/>
      <c r="X805" s="3"/>
      <c r="Y805" s="3"/>
      <c r="Z805" s="3"/>
    </row>
    <row r="806">
      <c r="A806" s="3"/>
      <c r="B806" s="1"/>
      <c r="C806" s="1"/>
      <c r="D806" s="3"/>
      <c r="E806" s="5"/>
      <c r="F806" s="3"/>
      <c r="G806" s="3"/>
      <c r="H806" s="3"/>
      <c r="I806" s="3"/>
      <c r="J806" s="5"/>
      <c r="K806" s="3"/>
      <c r="L806" s="3"/>
      <c r="M806" s="3"/>
      <c r="N806" s="3"/>
      <c r="O806" s="3"/>
      <c r="P806" s="3"/>
      <c r="Q806" s="3"/>
      <c r="R806" s="3"/>
      <c r="S806" s="3"/>
      <c r="T806" s="3"/>
      <c r="U806" s="3"/>
      <c r="V806" s="3"/>
      <c r="W806" s="3"/>
      <c r="X806" s="3"/>
      <c r="Y806" s="3"/>
      <c r="Z806" s="3"/>
    </row>
    <row r="807">
      <c r="A807" s="3"/>
      <c r="B807" s="1"/>
      <c r="C807" s="1"/>
      <c r="D807" s="3"/>
      <c r="E807" s="5"/>
      <c r="F807" s="3"/>
      <c r="G807" s="3"/>
      <c r="H807" s="3"/>
      <c r="I807" s="3"/>
      <c r="J807" s="5"/>
      <c r="K807" s="3"/>
      <c r="L807" s="3"/>
      <c r="M807" s="3"/>
      <c r="N807" s="3"/>
      <c r="O807" s="3"/>
      <c r="P807" s="3"/>
      <c r="Q807" s="3"/>
      <c r="R807" s="3"/>
      <c r="S807" s="3"/>
      <c r="T807" s="3"/>
      <c r="U807" s="3"/>
      <c r="V807" s="3"/>
      <c r="W807" s="3"/>
      <c r="X807" s="3"/>
      <c r="Y807" s="3"/>
      <c r="Z807" s="3"/>
    </row>
    <row r="808">
      <c r="A808" s="3"/>
      <c r="B808" s="1"/>
      <c r="C808" s="1"/>
      <c r="D808" s="3"/>
      <c r="E808" s="5"/>
      <c r="F808" s="3"/>
      <c r="G808" s="3"/>
      <c r="H808" s="3"/>
      <c r="I808" s="3"/>
      <c r="J808" s="5"/>
      <c r="K808" s="3"/>
      <c r="L808" s="3"/>
      <c r="M808" s="3"/>
      <c r="N808" s="3"/>
      <c r="O808" s="3"/>
      <c r="P808" s="3"/>
      <c r="Q808" s="3"/>
      <c r="R808" s="3"/>
      <c r="S808" s="3"/>
      <c r="T808" s="3"/>
      <c r="U808" s="3"/>
      <c r="V808" s="3"/>
      <c r="W808" s="3"/>
      <c r="X808" s="3"/>
      <c r="Y808" s="3"/>
      <c r="Z808" s="3"/>
    </row>
    <row r="809">
      <c r="A809" s="3"/>
      <c r="B809" s="1"/>
      <c r="C809" s="1"/>
      <c r="D809" s="3"/>
      <c r="E809" s="5"/>
      <c r="F809" s="3"/>
      <c r="G809" s="3"/>
      <c r="H809" s="3"/>
      <c r="I809" s="3"/>
      <c r="J809" s="5"/>
      <c r="K809" s="3"/>
      <c r="L809" s="3"/>
      <c r="M809" s="3"/>
      <c r="N809" s="3"/>
      <c r="O809" s="3"/>
      <c r="P809" s="3"/>
      <c r="Q809" s="3"/>
      <c r="R809" s="3"/>
      <c r="S809" s="3"/>
      <c r="T809" s="3"/>
      <c r="U809" s="3"/>
      <c r="V809" s="3"/>
      <c r="W809" s="3"/>
      <c r="X809" s="3"/>
      <c r="Y809" s="3"/>
      <c r="Z809" s="3"/>
    </row>
    <row r="810">
      <c r="A810" s="3"/>
      <c r="B810" s="1"/>
      <c r="C810" s="1"/>
      <c r="D810" s="3"/>
      <c r="E810" s="5"/>
      <c r="F810" s="3"/>
      <c r="G810" s="3"/>
      <c r="H810" s="3"/>
      <c r="I810" s="3"/>
      <c r="J810" s="5"/>
      <c r="K810" s="3"/>
      <c r="L810" s="3"/>
      <c r="M810" s="3"/>
      <c r="N810" s="3"/>
      <c r="O810" s="3"/>
      <c r="P810" s="3"/>
      <c r="Q810" s="3"/>
      <c r="R810" s="3"/>
      <c r="S810" s="3"/>
      <c r="T810" s="3"/>
      <c r="U810" s="3"/>
      <c r="V810" s="3"/>
      <c r="W810" s="3"/>
      <c r="X810" s="3"/>
      <c r="Y810" s="3"/>
      <c r="Z810" s="3"/>
    </row>
    <row r="811">
      <c r="A811" s="3"/>
      <c r="B811" s="1"/>
      <c r="C811" s="1"/>
      <c r="D811" s="3"/>
      <c r="E811" s="5"/>
      <c r="F811" s="3"/>
      <c r="G811" s="3"/>
      <c r="H811" s="3"/>
      <c r="I811" s="3"/>
      <c r="J811" s="5"/>
      <c r="K811" s="3"/>
      <c r="L811" s="3"/>
      <c r="M811" s="3"/>
      <c r="N811" s="3"/>
      <c r="O811" s="3"/>
      <c r="P811" s="3"/>
      <c r="Q811" s="3"/>
      <c r="R811" s="3"/>
      <c r="S811" s="3"/>
      <c r="T811" s="3"/>
      <c r="U811" s="3"/>
      <c r="V811" s="3"/>
      <c r="W811" s="3"/>
      <c r="X811" s="3"/>
      <c r="Y811" s="3"/>
      <c r="Z811" s="3"/>
    </row>
    <row r="812">
      <c r="A812" s="3"/>
      <c r="B812" s="1"/>
      <c r="C812" s="1"/>
      <c r="D812" s="3"/>
      <c r="E812" s="5"/>
      <c r="F812" s="3"/>
      <c r="G812" s="3"/>
      <c r="H812" s="3"/>
      <c r="I812" s="3"/>
      <c r="J812" s="5"/>
      <c r="K812" s="3"/>
      <c r="L812" s="3"/>
      <c r="M812" s="3"/>
      <c r="N812" s="3"/>
      <c r="O812" s="3"/>
      <c r="P812" s="3"/>
      <c r="Q812" s="3"/>
      <c r="R812" s="3"/>
      <c r="S812" s="3"/>
      <c r="T812" s="3"/>
      <c r="U812" s="3"/>
      <c r="V812" s="3"/>
      <c r="W812" s="3"/>
      <c r="X812" s="3"/>
      <c r="Y812" s="3"/>
      <c r="Z812" s="3"/>
    </row>
    <row r="813">
      <c r="A813" s="3"/>
      <c r="B813" s="1"/>
      <c r="C813" s="1"/>
      <c r="D813" s="3"/>
      <c r="E813" s="5"/>
      <c r="F813" s="3"/>
      <c r="G813" s="3"/>
      <c r="H813" s="3"/>
      <c r="I813" s="3"/>
      <c r="J813" s="5"/>
      <c r="K813" s="3"/>
      <c r="L813" s="3"/>
      <c r="M813" s="3"/>
      <c r="N813" s="3"/>
      <c r="O813" s="3"/>
      <c r="P813" s="3"/>
      <c r="Q813" s="3"/>
      <c r="R813" s="3"/>
      <c r="S813" s="3"/>
      <c r="T813" s="3"/>
      <c r="U813" s="3"/>
      <c r="V813" s="3"/>
      <c r="W813" s="3"/>
      <c r="X813" s="3"/>
      <c r="Y813" s="3"/>
      <c r="Z813" s="3"/>
    </row>
    <row r="814">
      <c r="A814" s="3"/>
      <c r="B814" s="1"/>
      <c r="C814" s="1"/>
      <c r="D814" s="3"/>
      <c r="E814" s="5"/>
      <c r="F814" s="3"/>
      <c r="G814" s="3"/>
      <c r="H814" s="3"/>
      <c r="I814" s="3"/>
      <c r="J814" s="5"/>
      <c r="K814" s="3"/>
      <c r="L814" s="3"/>
      <c r="M814" s="3"/>
      <c r="N814" s="3"/>
      <c r="O814" s="3"/>
      <c r="P814" s="3"/>
      <c r="Q814" s="3"/>
      <c r="R814" s="3"/>
      <c r="S814" s="3"/>
      <c r="T814" s="3"/>
      <c r="U814" s="3"/>
      <c r="V814" s="3"/>
      <c r="W814" s="3"/>
      <c r="X814" s="3"/>
      <c r="Y814" s="3"/>
      <c r="Z814" s="3"/>
    </row>
    <row r="815">
      <c r="A815" s="3"/>
      <c r="B815" s="1"/>
      <c r="C815" s="1"/>
      <c r="D815" s="3"/>
      <c r="E815" s="5"/>
      <c r="F815" s="3"/>
      <c r="G815" s="3"/>
      <c r="H815" s="3"/>
      <c r="I815" s="3"/>
      <c r="J815" s="5"/>
      <c r="K815" s="3"/>
      <c r="L815" s="3"/>
      <c r="M815" s="3"/>
      <c r="N815" s="3"/>
      <c r="O815" s="3"/>
      <c r="P815" s="3"/>
      <c r="Q815" s="3"/>
      <c r="R815" s="3"/>
      <c r="S815" s="3"/>
      <c r="T815" s="3"/>
      <c r="U815" s="3"/>
      <c r="V815" s="3"/>
      <c r="W815" s="3"/>
      <c r="X815" s="3"/>
      <c r="Y815" s="3"/>
      <c r="Z815" s="3"/>
    </row>
    <row r="816">
      <c r="A816" s="3"/>
      <c r="B816" s="1"/>
      <c r="C816" s="1"/>
      <c r="D816" s="3"/>
      <c r="E816" s="5"/>
      <c r="F816" s="3"/>
      <c r="G816" s="3"/>
      <c r="H816" s="3"/>
      <c r="I816" s="3"/>
      <c r="J816" s="5"/>
      <c r="K816" s="3"/>
      <c r="L816" s="3"/>
      <c r="M816" s="3"/>
      <c r="N816" s="3"/>
      <c r="O816" s="3"/>
      <c r="P816" s="3"/>
      <c r="Q816" s="3"/>
      <c r="R816" s="3"/>
      <c r="S816" s="3"/>
      <c r="T816" s="3"/>
      <c r="U816" s="3"/>
      <c r="V816" s="3"/>
      <c r="W816" s="3"/>
      <c r="X816" s="3"/>
      <c r="Y816" s="3"/>
      <c r="Z816" s="3"/>
    </row>
    <row r="817">
      <c r="A817" s="3"/>
      <c r="B817" s="1"/>
      <c r="C817" s="1"/>
      <c r="D817" s="3"/>
      <c r="E817" s="5"/>
      <c r="F817" s="3"/>
      <c r="G817" s="3"/>
      <c r="H817" s="3"/>
      <c r="I817" s="3"/>
      <c r="J817" s="5"/>
      <c r="K817" s="3"/>
      <c r="L817" s="3"/>
      <c r="M817" s="3"/>
      <c r="N817" s="3"/>
      <c r="O817" s="3"/>
      <c r="P817" s="3"/>
      <c r="Q817" s="3"/>
      <c r="R817" s="3"/>
      <c r="S817" s="3"/>
      <c r="T817" s="3"/>
      <c r="U817" s="3"/>
      <c r="V817" s="3"/>
      <c r="W817" s="3"/>
      <c r="X817" s="3"/>
      <c r="Y817" s="3"/>
      <c r="Z817" s="3"/>
    </row>
    <row r="818">
      <c r="A818" s="3"/>
      <c r="B818" s="1"/>
      <c r="C818" s="1"/>
      <c r="D818" s="3"/>
      <c r="E818" s="5"/>
      <c r="F818" s="3"/>
      <c r="G818" s="3"/>
      <c r="H818" s="3"/>
      <c r="I818" s="3"/>
      <c r="J818" s="5"/>
      <c r="K818" s="3"/>
      <c r="L818" s="3"/>
      <c r="M818" s="3"/>
      <c r="N818" s="3"/>
      <c r="O818" s="3"/>
      <c r="P818" s="3"/>
      <c r="Q818" s="3"/>
      <c r="R818" s="3"/>
      <c r="S818" s="3"/>
      <c r="T818" s="3"/>
      <c r="U818" s="3"/>
      <c r="V818" s="3"/>
      <c r="W818" s="3"/>
      <c r="X818" s="3"/>
      <c r="Y818" s="3"/>
      <c r="Z818" s="3"/>
    </row>
    <row r="819">
      <c r="A819" s="3"/>
      <c r="B819" s="1"/>
      <c r="C819" s="1"/>
      <c r="D819" s="3"/>
      <c r="E819" s="5"/>
      <c r="F819" s="3"/>
      <c r="G819" s="3"/>
      <c r="H819" s="3"/>
      <c r="I819" s="3"/>
      <c r="J819" s="5"/>
      <c r="K819" s="3"/>
      <c r="L819" s="3"/>
      <c r="M819" s="3"/>
      <c r="N819" s="3"/>
      <c r="O819" s="3"/>
      <c r="P819" s="3"/>
      <c r="Q819" s="3"/>
      <c r="R819" s="3"/>
      <c r="S819" s="3"/>
      <c r="T819" s="3"/>
      <c r="U819" s="3"/>
      <c r="V819" s="3"/>
      <c r="W819" s="3"/>
      <c r="X819" s="3"/>
      <c r="Y819" s="3"/>
      <c r="Z819" s="3"/>
    </row>
    <row r="820">
      <c r="A820" s="3"/>
      <c r="B820" s="1"/>
      <c r="C820" s="1"/>
      <c r="D820" s="3"/>
      <c r="E820" s="5"/>
      <c r="F820" s="3"/>
      <c r="G820" s="3"/>
      <c r="H820" s="3"/>
      <c r="I820" s="3"/>
      <c r="J820" s="5"/>
      <c r="K820" s="3"/>
      <c r="L820" s="3"/>
      <c r="M820" s="3"/>
      <c r="N820" s="3"/>
      <c r="O820" s="3"/>
      <c r="P820" s="3"/>
      <c r="Q820" s="3"/>
      <c r="R820" s="3"/>
      <c r="S820" s="3"/>
      <c r="T820" s="3"/>
      <c r="U820" s="3"/>
      <c r="V820" s="3"/>
      <c r="W820" s="3"/>
      <c r="X820" s="3"/>
      <c r="Y820" s="3"/>
      <c r="Z820" s="3"/>
    </row>
    <row r="821">
      <c r="A821" s="3"/>
      <c r="B821" s="1"/>
      <c r="C821" s="1"/>
      <c r="D821" s="3"/>
      <c r="E821" s="5"/>
      <c r="F821" s="3"/>
      <c r="G821" s="3"/>
      <c r="H821" s="3"/>
      <c r="I821" s="3"/>
      <c r="J821" s="5"/>
      <c r="K821" s="3"/>
      <c r="L821" s="3"/>
      <c r="M821" s="3"/>
      <c r="N821" s="3"/>
      <c r="O821" s="3"/>
      <c r="P821" s="3"/>
      <c r="Q821" s="3"/>
      <c r="R821" s="3"/>
      <c r="S821" s="3"/>
      <c r="T821" s="3"/>
      <c r="U821" s="3"/>
      <c r="V821" s="3"/>
      <c r="W821" s="3"/>
      <c r="X821" s="3"/>
      <c r="Y821" s="3"/>
      <c r="Z821" s="3"/>
    </row>
    <row r="822">
      <c r="A822" s="3"/>
      <c r="B822" s="1"/>
      <c r="C822" s="1"/>
      <c r="D822" s="3"/>
      <c r="E822" s="5"/>
      <c r="F822" s="3"/>
      <c r="G822" s="3"/>
      <c r="H822" s="3"/>
      <c r="I822" s="3"/>
      <c r="J822" s="5"/>
      <c r="K822" s="3"/>
      <c r="L822" s="3"/>
      <c r="M822" s="3"/>
      <c r="N822" s="3"/>
      <c r="O822" s="3"/>
      <c r="P822" s="3"/>
      <c r="Q822" s="3"/>
      <c r="R822" s="3"/>
      <c r="S822" s="3"/>
      <c r="T822" s="3"/>
      <c r="U822" s="3"/>
      <c r="V822" s="3"/>
      <c r="W822" s="3"/>
      <c r="X822" s="3"/>
      <c r="Y822" s="3"/>
      <c r="Z822" s="3"/>
    </row>
    <row r="823">
      <c r="A823" s="3"/>
      <c r="B823" s="1"/>
      <c r="C823" s="1"/>
      <c r="D823" s="3"/>
      <c r="E823" s="5"/>
      <c r="F823" s="3"/>
      <c r="G823" s="3"/>
      <c r="H823" s="3"/>
      <c r="I823" s="3"/>
      <c r="J823" s="5"/>
      <c r="K823" s="3"/>
      <c r="L823" s="3"/>
      <c r="M823" s="3"/>
      <c r="N823" s="3"/>
      <c r="O823" s="3"/>
      <c r="P823" s="3"/>
      <c r="Q823" s="3"/>
      <c r="R823" s="3"/>
      <c r="S823" s="3"/>
      <c r="T823" s="3"/>
      <c r="U823" s="3"/>
      <c r="V823" s="3"/>
      <c r="W823" s="3"/>
      <c r="X823" s="3"/>
      <c r="Y823" s="3"/>
      <c r="Z823" s="3"/>
    </row>
    <row r="824">
      <c r="A824" s="3"/>
      <c r="B824" s="1"/>
      <c r="C824" s="1"/>
      <c r="D824" s="3"/>
      <c r="E824" s="5"/>
      <c r="F824" s="3"/>
      <c r="G824" s="3"/>
      <c r="H824" s="3"/>
      <c r="I824" s="3"/>
      <c r="J824" s="5"/>
      <c r="K824" s="3"/>
      <c r="L824" s="3"/>
      <c r="M824" s="3"/>
      <c r="N824" s="3"/>
      <c r="O824" s="3"/>
      <c r="P824" s="3"/>
      <c r="Q824" s="3"/>
      <c r="R824" s="3"/>
      <c r="S824" s="3"/>
      <c r="T824" s="3"/>
      <c r="U824" s="3"/>
      <c r="V824" s="3"/>
      <c r="W824" s="3"/>
      <c r="X824" s="3"/>
      <c r="Y824" s="3"/>
      <c r="Z824" s="3"/>
    </row>
    <row r="825">
      <c r="A825" s="3"/>
      <c r="B825" s="1"/>
      <c r="C825" s="1"/>
      <c r="D825" s="3"/>
      <c r="E825" s="5"/>
      <c r="F825" s="3"/>
      <c r="G825" s="3"/>
      <c r="H825" s="3"/>
      <c r="I825" s="3"/>
      <c r="J825" s="5"/>
      <c r="K825" s="3"/>
      <c r="L825" s="3"/>
      <c r="M825" s="3"/>
      <c r="N825" s="3"/>
      <c r="O825" s="3"/>
      <c r="P825" s="3"/>
      <c r="Q825" s="3"/>
      <c r="R825" s="3"/>
      <c r="S825" s="3"/>
      <c r="T825" s="3"/>
      <c r="U825" s="3"/>
      <c r="V825" s="3"/>
      <c r="W825" s="3"/>
      <c r="X825" s="3"/>
      <c r="Y825" s="3"/>
      <c r="Z825" s="3"/>
    </row>
    <row r="826">
      <c r="A826" s="3"/>
      <c r="B826" s="1"/>
      <c r="C826" s="1"/>
      <c r="D826" s="3"/>
      <c r="E826" s="5"/>
      <c r="F826" s="3"/>
      <c r="G826" s="3"/>
      <c r="H826" s="3"/>
      <c r="I826" s="3"/>
      <c r="J826" s="5"/>
      <c r="K826" s="3"/>
      <c r="L826" s="3"/>
      <c r="M826" s="3"/>
      <c r="N826" s="3"/>
      <c r="O826" s="3"/>
      <c r="P826" s="3"/>
      <c r="Q826" s="3"/>
      <c r="R826" s="3"/>
      <c r="S826" s="3"/>
      <c r="T826" s="3"/>
      <c r="U826" s="3"/>
      <c r="V826" s="3"/>
      <c r="W826" s="3"/>
      <c r="X826" s="3"/>
      <c r="Y826" s="3"/>
      <c r="Z826" s="3"/>
    </row>
    <row r="827">
      <c r="A827" s="3"/>
      <c r="B827" s="1"/>
      <c r="C827" s="1"/>
      <c r="D827" s="3"/>
      <c r="E827" s="5"/>
      <c r="F827" s="3"/>
      <c r="G827" s="3"/>
      <c r="H827" s="3"/>
      <c r="I827" s="3"/>
      <c r="J827" s="5"/>
      <c r="K827" s="3"/>
      <c r="L827" s="3"/>
      <c r="M827" s="3"/>
      <c r="N827" s="3"/>
      <c r="O827" s="3"/>
      <c r="P827" s="3"/>
      <c r="Q827" s="3"/>
      <c r="R827" s="3"/>
      <c r="S827" s="3"/>
      <c r="T827" s="3"/>
      <c r="U827" s="3"/>
      <c r="V827" s="3"/>
      <c r="W827" s="3"/>
      <c r="X827" s="3"/>
      <c r="Y827" s="3"/>
      <c r="Z827" s="3"/>
    </row>
    <row r="828">
      <c r="A828" s="3"/>
      <c r="B828" s="1"/>
      <c r="C828" s="1"/>
      <c r="D828" s="3"/>
      <c r="E828" s="5"/>
      <c r="F828" s="3"/>
      <c r="G828" s="3"/>
      <c r="H828" s="3"/>
      <c r="I828" s="3"/>
      <c r="J828" s="5"/>
      <c r="K828" s="3"/>
      <c r="L828" s="3"/>
      <c r="M828" s="3"/>
      <c r="N828" s="3"/>
      <c r="O828" s="3"/>
      <c r="P828" s="3"/>
      <c r="Q828" s="3"/>
      <c r="R828" s="3"/>
      <c r="S828" s="3"/>
      <c r="T828" s="3"/>
      <c r="U828" s="3"/>
      <c r="V828" s="3"/>
      <c r="W828" s="3"/>
      <c r="X828" s="3"/>
      <c r="Y828" s="3"/>
      <c r="Z828" s="3"/>
    </row>
    <row r="829">
      <c r="A829" s="3"/>
      <c r="B829" s="1"/>
      <c r="C829" s="1"/>
      <c r="D829" s="3"/>
      <c r="E829" s="5"/>
      <c r="F829" s="3"/>
      <c r="G829" s="3"/>
      <c r="H829" s="3"/>
      <c r="I829" s="3"/>
      <c r="J829" s="5"/>
      <c r="K829" s="3"/>
      <c r="L829" s="3"/>
      <c r="M829" s="3"/>
      <c r="N829" s="3"/>
      <c r="O829" s="3"/>
      <c r="P829" s="3"/>
      <c r="Q829" s="3"/>
      <c r="R829" s="3"/>
      <c r="S829" s="3"/>
      <c r="T829" s="3"/>
      <c r="U829" s="3"/>
      <c r="V829" s="3"/>
      <c r="W829" s="3"/>
      <c r="X829" s="3"/>
      <c r="Y829" s="3"/>
      <c r="Z829" s="3"/>
    </row>
    <row r="830">
      <c r="A830" s="3"/>
      <c r="B830" s="1"/>
      <c r="C830" s="1"/>
      <c r="D830" s="3"/>
      <c r="E830" s="5"/>
      <c r="F830" s="3"/>
      <c r="G830" s="3"/>
      <c r="H830" s="3"/>
      <c r="I830" s="3"/>
      <c r="J830" s="5"/>
      <c r="K830" s="3"/>
      <c r="L830" s="3"/>
      <c r="M830" s="3"/>
      <c r="N830" s="3"/>
      <c r="O830" s="3"/>
      <c r="P830" s="3"/>
      <c r="Q830" s="3"/>
      <c r="R830" s="3"/>
      <c r="S830" s="3"/>
      <c r="T830" s="3"/>
      <c r="U830" s="3"/>
      <c r="V830" s="3"/>
      <c r="W830" s="3"/>
      <c r="X830" s="3"/>
      <c r="Y830" s="3"/>
      <c r="Z830" s="3"/>
    </row>
    <row r="831">
      <c r="A831" s="3"/>
      <c r="B831" s="1"/>
      <c r="C831" s="1"/>
      <c r="D831" s="3"/>
      <c r="E831" s="5"/>
      <c r="F831" s="3"/>
      <c r="G831" s="3"/>
      <c r="H831" s="3"/>
      <c r="I831" s="3"/>
      <c r="J831" s="5"/>
      <c r="K831" s="3"/>
      <c r="L831" s="3"/>
      <c r="M831" s="3"/>
      <c r="N831" s="3"/>
      <c r="O831" s="3"/>
      <c r="P831" s="3"/>
      <c r="Q831" s="3"/>
      <c r="R831" s="3"/>
      <c r="S831" s="3"/>
      <c r="T831" s="3"/>
      <c r="U831" s="3"/>
      <c r="V831" s="3"/>
      <c r="W831" s="3"/>
      <c r="X831" s="3"/>
      <c r="Y831" s="3"/>
      <c r="Z831" s="3"/>
    </row>
    <row r="832">
      <c r="A832" s="3"/>
      <c r="B832" s="1"/>
      <c r="C832" s="1"/>
      <c r="D832" s="3"/>
      <c r="E832" s="5"/>
      <c r="F832" s="3"/>
      <c r="G832" s="3"/>
      <c r="H832" s="3"/>
      <c r="I832" s="3"/>
      <c r="J832" s="5"/>
      <c r="K832" s="3"/>
      <c r="L832" s="3"/>
      <c r="M832" s="3"/>
      <c r="N832" s="3"/>
      <c r="O832" s="3"/>
      <c r="P832" s="3"/>
      <c r="Q832" s="3"/>
      <c r="R832" s="3"/>
      <c r="S832" s="3"/>
      <c r="T832" s="3"/>
      <c r="U832" s="3"/>
      <c r="V832" s="3"/>
      <c r="W832" s="3"/>
      <c r="X832" s="3"/>
      <c r="Y832" s="3"/>
      <c r="Z832" s="3"/>
    </row>
    <row r="833">
      <c r="A833" s="3"/>
      <c r="B833" s="1"/>
      <c r="C833" s="1"/>
      <c r="D833" s="3"/>
      <c r="E833" s="5"/>
      <c r="F833" s="3"/>
      <c r="G833" s="3"/>
      <c r="H833" s="3"/>
      <c r="I833" s="3"/>
      <c r="J833" s="5"/>
      <c r="K833" s="3"/>
      <c r="L833" s="3"/>
      <c r="M833" s="3"/>
      <c r="N833" s="3"/>
      <c r="O833" s="3"/>
      <c r="P833" s="3"/>
      <c r="Q833" s="3"/>
      <c r="R833" s="3"/>
      <c r="S833" s="3"/>
      <c r="T833" s="3"/>
      <c r="U833" s="3"/>
      <c r="V833" s="3"/>
      <c r="W833" s="3"/>
      <c r="X833" s="3"/>
      <c r="Y833" s="3"/>
      <c r="Z833" s="3"/>
    </row>
    <row r="834">
      <c r="A834" s="3"/>
      <c r="B834" s="1"/>
      <c r="C834" s="1"/>
      <c r="D834" s="3"/>
      <c r="E834" s="5"/>
      <c r="F834" s="3"/>
      <c r="G834" s="3"/>
      <c r="H834" s="3"/>
      <c r="I834" s="3"/>
      <c r="J834" s="5"/>
      <c r="K834" s="3"/>
      <c r="L834" s="3"/>
      <c r="M834" s="3"/>
      <c r="N834" s="3"/>
      <c r="O834" s="3"/>
      <c r="P834" s="3"/>
      <c r="Q834" s="3"/>
      <c r="R834" s="3"/>
      <c r="S834" s="3"/>
      <c r="T834" s="3"/>
      <c r="U834" s="3"/>
      <c r="V834" s="3"/>
      <c r="W834" s="3"/>
      <c r="X834" s="3"/>
      <c r="Y834" s="3"/>
      <c r="Z834" s="3"/>
    </row>
    <row r="835">
      <c r="A835" s="3"/>
      <c r="B835" s="1"/>
      <c r="C835" s="1"/>
      <c r="D835" s="3"/>
      <c r="E835" s="5"/>
      <c r="F835" s="3"/>
      <c r="G835" s="3"/>
      <c r="H835" s="3"/>
      <c r="I835" s="3"/>
      <c r="J835" s="5"/>
      <c r="K835" s="3"/>
      <c r="L835" s="3"/>
      <c r="M835" s="3"/>
      <c r="N835" s="3"/>
      <c r="O835" s="3"/>
      <c r="P835" s="3"/>
      <c r="Q835" s="3"/>
      <c r="R835" s="3"/>
      <c r="S835" s="3"/>
      <c r="T835" s="3"/>
      <c r="U835" s="3"/>
      <c r="V835" s="3"/>
      <c r="W835" s="3"/>
      <c r="X835" s="3"/>
      <c r="Y835" s="3"/>
      <c r="Z835" s="3"/>
    </row>
    <row r="836">
      <c r="A836" s="3"/>
      <c r="B836" s="1"/>
      <c r="C836" s="1"/>
      <c r="D836" s="3"/>
      <c r="E836" s="5"/>
      <c r="F836" s="3"/>
      <c r="G836" s="3"/>
      <c r="H836" s="3"/>
      <c r="I836" s="3"/>
      <c r="J836" s="5"/>
      <c r="K836" s="3"/>
      <c r="L836" s="3"/>
      <c r="M836" s="3"/>
      <c r="N836" s="3"/>
      <c r="O836" s="3"/>
      <c r="P836" s="3"/>
      <c r="Q836" s="3"/>
      <c r="R836" s="3"/>
      <c r="S836" s="3"/>
      <c r="T836" s="3"/>
      <c r="U836" s="3"/>
      <c r="V836" s="3"/>
      <c r="W836" s="3"/>
      <c r="X836" s="3"/>
      <c r="Y836" s="3"/>
      <c r="Z836" s="3"/>
    </row>
    <row r="837">
      <c r="A837" s="3"/>
      <c r="B837" s="1"/>
      <c r="C837" s="1"/>
      <c r="D837" s="3"/>
      <c r="E837" s="5"/>
      <c r="F837" s="3"/>
      <c r="G837" s="3"/>
      <c r="H837" s="3"/>
      <c r="I837" s="3"/>
      <c r="J837" s="5"/>
      <c r="K837" s="3"/>
      <c r="L837" s="3"/>
      <c r="M837" s="3"/>
      <c r="N837" s="3"/>
      <c r="O837" s="3"/>
      <c r="P837" s="3"/>
      <c r="Q837" s="3"/>
      <c r="R837" s="3"/>
      <c r="S837" s="3"/>
      <c r="T837" s="3"/>
      <c r="U837" s="3"/>
      <c r="V837" s="3"/>
      <c r="W837" s="3"/>
      <c r="X837" s="3"/>
      <c r="Y837" s="3"/>
      <c r="Z837" s="3"/>
    </row>
    <row r="838">
      <c r="A838" s="3"/>
      <c r="B838" s="1"/>
      <c r="C838" s="1"/>
      <c r="D838" s="3"/>
      <c r="E838" s="5"/>
      <c r="F838" s="3"/>
      <c r="G838" s="3"/>
      <c r="H838" s="3"/>
      <c r="I838" s="3"/>
      <c r="J838" s="5"/>
      <c r="K838" s="3"/>
      <c r="L838" s="3"/>
      <c r="M838" s="3"/>
      <c r="N838" s="3"/>
      <c r="O838" s="3"/>
      <c r="P838" s="3"/>
      <c r="Q838" s="3"/>
      <c r="R838" s="3"/>
      <c r="S838" s="3"/>
      <c r="T838" s="3"/>
      <c r="U838" s="3"/>
      <c r="V838" s="3"/>
      <c r="W838" s="3"/>
      <c r="X838" s="3"/>
      <c r="Y838" s="3"/>
      <c r="Z838" s="3"/>
    </row>
    <row r="839">
      <c r="A839" s="3"/>
      <c r="B839" s="1"/>
      <c r="C839" s="1"/>
      <c r="D839" s="3"/>
      <c r="E839" s="5"/>
      <c r="F839" s="3"/>
      <c r="G839" s="3"/>
      <c r="H839" s="3"/>
      <c r="I839" s="3"/>
      <c r="J839" s="5"/>
      <c r="K839" s="3"/>
      <c r="L839" s="3"/>
      <c r="M839" s="3"/>
      <c r="N839" s="3"/>
      <c r="O839" s="3"/>
      <c r="P839" s="3"/>
      <c r="Q839" s="3"/>
      <c r="R839" s="3"/>
      <c r="S839" s="3"/>
      <c r="T839" s="3"/>
      <c r="U839" s="3"/>
      <c r="V839" s="3"/>
      <c r="W839" s="3"/>
      <c r="X839" s="3"/>
      <c r="Y839" s="3"/>
      <c r="Z839" s="3"/>
    </row>
    <row r="840">
      <c r="A840" s="3"/>
      <c r="B840" s="1"/>
      <c r="C840" s="1"/>
      <c r="D840" s="3"/>
      <c r="E840" s="5"/>
      <c r="F840" s="3"/>
      <c r="G840" s="3"/>
      <c r="H840" s="3"/>
      <c r="I840" s="3"/>
      <c r="J840" s="5"/>
      <c r="K840" s="3"/>
      <c r="L840" s="3"/>
      <c r="M840" s="3"/>
      <c r="N840" s="3"/>
      <c r="O840" s="3"/>
      <c r="P840" s="3"/>
      <c r="Q840" s="3"/>
      <c r="R840" s="3"/>
      <c r="S840" s="3"/>
      <c r="T840" s="3"/>
      <c r="U840" s="3"/>
      <c r="V840" s="3"/>
      <c r="W840" s="3"/>
      <c r="X840" s="3"/>
      <c r="Y840" s="3"/>
      <c r="Z840" s="3"/>
    </row>
    <row r="841">
      <c r="A841" s="3"/>
      <c r="B841" s="1"/>
      <c r="C841" s="1"/>
      <c r="D841" s="3"/>
      <c r="E841" s="5"/>
      <c r="F841" s="3"/>
      <c r="G841" s="3"/>
      <c r="H841" s="3"/>
      <c r="I841" s="3"/>
      <c r="J841" s="5"/>
      <c r="K841" s="3"/>
      <c r="L841" s="3"/>
      <c r="M841" s="3"/>
      <c r="N841" s="3"/>
      <c r="O841" s="3"/>
      <c r="P841" s="3"/>
      <c r="Q841" s="3"/>
      <c r="R841" s="3"/>
      <c r="S841" s="3"/>
      <c r="T841" s="3"/>
      <c r="U841" s="3"/>
      <c r="V841" s="3"/>
      <c r="W841" s="3"/>
      <c r="X841" s="3"/>
      <c r="Y841" s="3"/>
      <c r="Z841" s="3"/>
    </row>
    <row r="842">
      <c r="A842" s="3"/>
      <c r="B842" s="1"/>
      <c r="C842" s="1"/>
      <c r="D842" s="3"/>
      <c r="E842" s="5"/>
      <c r="F842" s="3"/>
      <c r="G842" s="3"/>
      <c r="H842" s="3"/>
      <c r="I842" s="3"/>
      <c r="J842" s="5"/>
      <c r="K842" s="3"/>
      <c r="L842" s="3"/>
      <c r="M842" s="3"/>
      <c r="N842" s="3"/>
      <c r="O842" s="3"/>
      <c r="P842" s="3"/>
      <c r="Q842" s="3"/>
      <c r="R842" s="3"/>
      <c r="S842" s="3"/>
      <c r="T842" s="3"/>
      <c r="U842" s="3"/>
      <c r="V842" s="3"/>
      <c r="W842" s="3"/>
      <c r="X842" s="3"/>
      <c r="Y842" s="3"/>
      <c r="Z842" s="3"/>
    </row>
    <row r="843">
      <c r="A843" s="3"/>
      <c r="B843" s="1"/>
      <c r="C843" s="1"/>
      <c r="D843" s="3"/>
      <c r="E843" s="5"/>
      <c r="F843" s="3"/>
      <c r="G843" s="3"/>
      <c r="H843" s="3"/>
      <c r="I843" s="3"/>
      <c r="J843" s="5"/>
      <c r="K843" s="3"/>
      <c r="L843" s="3"/>
      <c r="M843" s="3"/>
      <c r="N843" s="3"/>
      <c r="O843" s="3"/>
      <c r="P843" s="3"/>
      <c r="Q843" s="3"/>
      <c r="R843" s="3"/>
      <c r="S843" s="3"/>
      <c r="T843" s="3"/>
      <c r="U843" s="3"/>
      <c r="V843" s="3"/>
      <c r="W843" s="3"/>
      <c r="X843" s="3"/>
      <c r="Y843" s="3"/>
      <c r="Z843" s="3"/>
    </row>
    <row r="844">
      <c r="A844" s="3"/>
      <c r="B844" s="1"/>
      <c r="C844" s="1"/>
      <c r="D844" s="3"/>
      <c r="E844" s="5"/>
      <c r="F844" s="3"/>
      <c r="G844" s="3"/>
      <c r="H844" s="3"/>
      <c r="I844" s="3"/>
      <c r="J844" s="5"/>
      <c r="K844" s="3"/>
      <c r="L844" s="3"/>
      <c r="M844" s="3"/>
      <c r="N844" s="3"/>
      <c r="O844" s="3"/>
      <c r="P844" s="3"/>
      <c r="Q844" s="3"/>
      <c r="R844" s="3"/>
      <c r="S844" s="3"/>
      <c r="T844" s="3"/>
      <c r="U844" s="3"/>
      <c r="V844" s="3"/>
      <c r="W844" s="3"/>
      <c r="X844" s="3"/>
      <c r="Y844" s="3"/>
      <c r="Z844" s="3"/>
    </row>
    <row r="845">
      <c r="A845" s="3"/>
      <c r="B845" s="1"/>
      <c r="C845" s="1"/>
      <c r="D845" s="3"/>
      <c r="E845" s="5"/>
      <c r="F845" s="3"/>
      <c r="G845" s="3"/>
      <c r="H845" s="3"/>
      <c r="I845" s="3"/>
      <c r="J845" s="5"/>
      <c r="K845" s="3"/>
      <c r="L845" s="3"/>
      <c r="M845" s="3"/>
      <c r="N845" s="3"/>
      <c r="O845" s="3"/>
      <c r="P845" s="3"/>
      <c r="Q845" s="3"/>
      <c r="R845" s="3"/>
      <c r="S845" s="3"/>
      <c r="T845" s="3"/>
      <c r="U845" s="3"/>
      <c r="V845" s="3"/>
      <c r="W845" s="3"/>
      <c r="X845" s="3"/>
      <c r="Y845" s="3"/>
      <c r="Z845" s="3"/>
    </row>
    <row r="846">
      <c r="A846" s="3"/>
      <c r="B846" s="1"/>
      <c r="C846" s="1"/>
      <c r="D846" s="3"/>
      <c r="E846" s="5"/>
      <c r="F846" s="3"/>
      <c r="G846" s="3"/>
      <c r="H846" s="3"/>
      <c r="I846" s="3"/>
      <c r="J846" s="5"/>
      <c r="K846" s="3"/>
      <c r="L846" s="3"/>
      <c r="M846" s="3"/>
      <c r="N846" s="3"/>
      <c r="O846" s="3"/>
      <c r="P846" s="3"/>
      <c r="Q846" s="3"/>
      <c r="R846" s="3"/>
      <c r="S846" s="3"/>
      <c r="T846" s="3"/>
      <c r="U846" s="3"/>
      <c r="V846" s="3"/>
      <c r="W846" s="3"/>
      <c r="X846" s="3"/>
      <c r="Y846" s="3"/>
      <c r="Z846" s="3"/>
    </row>
    <row r="847">
      <c r="A847" s="3"/>
      <c r="B847" s="1"/>
      <c r="C847" s="1"/>
      <c r="D847" s="3"/>
      <c r="E847" s="5"/>
      <c r="F847" s="3"/>
      <c r="G847" s="3"/>
      <c r="H847" s="3"/>
      <c r="I847" s="3"/>
      <c r="J847" s="5"/>
      <c r="K847" s="3"/>
      <c r="L847" s="3"/>
      <c r="M847" s="3"/>
      <c r="N847" s="3"/>
      <c r="O847" s="3"/>
      <c r="P847" s="3"/>
      <c r="Q847" s="3"/>
      <c r="R847" s="3"/>
      <c r="S847" s="3"/>
      <c r="T847" s="3"/>
      <c r="U847" s="3"/>
      <c r="V847" s="3"/>
      <c r="W847" s="3"/>
      <c r="X847" s="3"/>
      <c r="Y847" s="3"/>
      <c r="Z847" s="3"/>
    </row>
    <row r="848">
      <c r="A848" s="3"/>
      <c r="B848" s="1"/>
      <c r="C848" s="1"/>
      <c r="D848" s="3"/>
      <c r="E848" s="5"/>
      <c r="F848" s="3"/>
      <c r="G848" s="3"/>
      <c r="H848" s="3"/>
      <c r="I848" s="3"/>
      <c r="J848" s="5"/>
      <c r="K848" s="3"/>
      <c r="L848" s="3"/>
      <c r="M848" s="3"/>
      <c r="N848" s="3"/>
      <c r="O848" s="3"/>
      <c r="P848" s="3"/>
      <c r="Q848" s="3"/>
      <c r="R848" s="3"/>
      <c r="S848" s="3"/>
      <c r="T848" s="3"/>
      <c r="U848" s="3"/>
      <c r="V848" s="3"/>
      <c r="W848" s="3"/>
      <c r="X848" s="3"/>
      <c r="Y848" s="3"/>
      <c r="Z848" s="3"/>
    </row>
    <row r="849">
      <c r="A849" s="3"/>
      <c r="B849" s="1"/>
      <c r="C849" s="1"/>
      <c r="D849" s="3"/>
      <c r="E849" s="5"/>
      <c r="F849" s="3"/>
      <c r="G849" s="3"/>
      <c r="H849" s="3"/>
      <c r="I849" s="3"/>
      <c r="J849" s="5"/>
      <c r="K849" s="3"/>
      <c r="L849" s="3"/>
      <c r="M849" s="3"/>
      <c r="N849" s="3"/>
      <c r="O849" s="3"/>
      <c r="P849" s="3"/>
      <c r="Q849" s="3"/>
      <c r="R849" s="3"/>
      <c r="S849" s="3"/>
      <c r="T849" s="3"/>
      <c r="U849" s="3"/>
      <c r="V849" s="3"/>
      <c r="W849" s="3"/>
      <c r="X849" s="3"/>
      <c r="Y849" s="3"/>
      <c r="Z849" s="3"/>
    </row>
    <row r="850">
      <c r="A850" s="3"/>
      <c r="B850" s="1"/>
      <c r="C850" s="1"/>
      <c r="D850" s="3"/>
      <c r="E850" s="5"/>
      <c r="F850" s="3"/>
      <c r="G850" s="3"/>
      <c r="H850" s="3"/>
      <c r="I850" s="3"/>
      <c r="J850" s="5"/>
      <c r="K850" s="3"/>
      <c r="L850" s="3"/>
      <c r="M850" s="3"/>
      <c r="N850" s="3"/>
      <c r="O850" s="3"/>
      <c r="P850" s="3"/>
      <c r="Q850" s="3"/>
      <c r="R850" s="3"/>
      <c r="S850" s="3"/>
      <c r="T850" s="3"/>
      <c r="U850" s="3"/>
      <c r="V850" s="3"/>
      <c r="W850" s="3"/>
      <c r="X850" s="3"/>
      <c r="Y850" s="3"/>
      <c r="Z850" s="3"/>
    </row>
    <row r="851">
      <c r="A851" s="3"/>
      <c r="B851" s="1"/>
      <c r="C851" s="1"/>
      <c r="D851" s="3"/>
      <c r="E851" s="5"/>
      <c r="F851" s="3"/>
      <c r="G851" s="3"/>
      <c r="H851" s="3"/>
      <c r="I851" s="3"/>
      <c r="J851" s="5"/>
      <c r="K851" s="3"/>
      <c r="L851" s="3"/>
      <c r="M851" s="3"/>
      <c r="N851" s="3"/>
      <c r="O851" s="3"/>
      <c r="P851" s="3"/>
      <c r="Q851" s="3"/>
      <c r="R851" s="3"/>
      <c r="S851" s="3"/>
      <c r="T851" s="3"/>
      <c r="U851" s="3"/>
      <c r="V851" s="3"/>
      <c r="W851" s="3"/>
      <c r="X851" s="3"/>
      <c r="Y851" s="3"/>
      <c r="Z851" s="3"/>
    </row>
    <row r="852">
      <c r="A852" s="3"/>
      <c r="B852" s="1"/>
      <c r="C852" s="1"/>
      <c r="D852" s="3"/>
      <c r="E852" s="5"/>
      <c r="F852" s="3"/>
      <c r="G852" s="3"/>
      <c r="H852" s="3"/>
      <c r="I852" s="3"/>
      <c r="J852" s="5"/>
      <c r="K852" s="3"/>
      <c r="L852" s="3"/>
      <c r="M852" s="3"/>
      <c r="N852" s="3"/>
      <c r="O852" s="3"/>
      <c r="P852" s="3"/>
      <c r="Q852" s="3"/>
      <c r="R852" s="3"/>
      <c r="S852" s="3"/>
      <c r="T852" s="3"/>
      <c r="U852" s="3"/>
      <c r="V852" s="3"/>
      <c r="W852" s="3"/>
      <c r="X852" s="3"/>
      <c r="Y852" s="3"/>
      <c r="Z852" s="3"/>
    </row>
    <row r="853">
      <c r="A853" s="3"/>
      <c r="B853" s="1"/>
      <c r="C853" s="1"/>
      <c r="D853" s="3"/>
      <c r="E853" s="5"/>
      <c r="F853" s="3"/>
      <c r="G853" s="3"/>
      <c r="H853" s="3"/>
      <c r="I853" s="3"/>
      <c r="J853" s="5"/>
      <c r="K853" s="3"/>
      <c r="L853" s="3"/>
      <c r="M853" s="3"/>
      <c r="N853" s="3"/>
      <c r="O853" s="3"/>
      <c r="P853" s="3"/>
      <c r="Q853" s="3"/>
      <c r="R853" s="3"/>
      <c r="S853" s="3"/>
      <c r="T853" s="3"/>
      <c r="U853" s="3"/>
      <c r="V853" s="3"/>
      <c r="W853" s="3"/>
      <c r="X853" s="3"/>
      <c r="Y853" s="3"/>
      <c r="Z853" s="3"/>
    </row>
    <row r="854">
      <c r="A854" s="3"/>
      <c r="B854" s="1"/>
      <c r="C854" s="1"/>
      <c r="D854" s="3"/>
      <c r="E854" s="5"/>
      <c r="F854" s="3"/>
      <c r="G854" s="3"/>
      <c r="H854" s="3"/>
      <c r="I854" s="3"/>
      <c r="J854" s="5"/>
      <c r="K854" s="3"/>
      <c r="L854" s="3"/>
      <c r="M854" s="3"/>
      <c r="N854" s="3"/>
      <c r="O854" s="3"/>
      <c r="P854" s="3"/>
      <c r="Q854" s="3"/>
      <c r="R854" s="3"/>
      <c r="S854" s="3"/>
      <c r="T854" s="3"/>
      <c r="U854" s="3"/>
      <c r="V854" s="3"/>
      <c r="W854" s="3"/>
      <c r="X854" s="3"/>
      <c r="Y854" s="3"/>
      <c r="Z854" s="3"/>
    </row>
    <row r="855">
      <c r="A855" s="3"/>
      <c r="B855" s="1"/>
      <c r="C855" s="1"/>
      <c r="D855" s="3"/>
      <c r="E855" s="5"/>
      <c r="F855" s="3"/>
      <c r="G855" s="3"/>
      <c r="H855" s="3"/>
      <c r="I855" s="3"/>
      <c r="J855" s="5"/>
      <c r="K855" s="3"/>
      <c r="L855" s="3"/>
      <c r="M855" s="3"/>
      <c r="N855" s="3"/>
      <c r="O855" s="3"/>
      <c r="P855" s="3"/>
      <c r="Q855" s="3"/>
      <c r="R855" s="3"/>
      <c r="S855" s="3"/>
      <c r="T855" s="3"/>
      <c r="U855" s="3"/>
      <c r="V855" s="3"/>
      <c r="W855" s="3"/>
      <c r="X855" s="3"/>
      <c r="Y855" s="3"/>
      <c r="Z855" s="3"/>
    </row>
    <row r="856">
      <c r="A856" s="3"/>
      <c r="B856" s="1"/>
      <c r="C856" s="1"/>
      <c r="D856" s="3"/>
      <c r="E856" s="5"/>
      <c r="F856" s="3"/>
      <c r="G856" s="3"/>
      <c r="H856" s="3"/>
      <c r="I856" s="3"/>
      <c r="J856" s="5"/>
      <c r="K856" s="3"/>
      <c r="L856" s="3"/>
      <c r="M856" s="3"/>
      <c r="N856" s="3"/>
      <c r="O856" s="3"/>
      <c r="P856" s="3"/>
      <c r="Q856" s="3"/>
      <c r="R856" s="3"/>
      <c r="S856" s="3"/>
      <c r="T856" s="3"/>
      <c r="U856" s="3"/>
      <c r="V856" s="3"/>
      <c r="W856" s="3"/>
      <c r="X856" s="3"/>
      <c r="Y856" s="3"/>
      <c r="Z856" s="3"/>
    </row>
    <row r="857">
      <c r="A857" s="3"/>
      <c r="B857" s="1"/>
      <c r="C857" s="1"/>
      <c r="D857" s="3"/>
      <c r="E857" s="5"/>
      <c r="F857" s="3"/>
      <c r="G857" s="3"/>
      <c r="H857" s="3"/>
      <c r="I857" s="3"/>
      <c r="J857" s="5"/>
      <c r="K857" s="3"/>
      <c r="L857" s="3"/>
      <c r="M857" s="3"/>
      <c r="N857" s="3"/>
      <c r="O857" s="3"/>
      <c r="P857" s="3"/>
      <c r="Q857" s="3"/>
      <c r="R857" s="3"/>
      <c r="S857" s="3"/>
      <c r="T857" s="3"/>
      <c r="U857" s="3"/>
      <c r="V857" s="3"/>
      <c r="W857" s="3"/>
      <c r="X857" s="3"/>
      <c r="Y857" s="3"/>
      <c r="Z857" s="3"/>
    </row>
    <row r="858">
      <c r="A858" s="3"/>
      <c r="B858" s="1"/>
      <c r="C858" s="1"/>
      <c r="D858" s="3"/>
      <c r="E858" s="5"/>
      <c r="F858" s="3"/>
      <c r="G858" s="3"/>
      <c r="H858" s="3"/>
      <c r="I858" s="3"/>
      <c r="J858" s="5"/>
      <c r="K858" s="3"/>
      <c r="L858" s="3"/>
      <c r="M858" s="3"/>
      <c r="N858" s="3"/>
      <c r="O858" s="3"/>
      <c r="P858" s="3"/>
      <c r="Q858" s="3"/>
      <c r="R858" s="3"/>
      <c r="S858" s="3"/>
      <c r="T858" s="3"/>
      <c r="U858" s="3"/>
      <c r="V858" s="3"/>
      <c r="W858" s="3"/>
      <c r="X858" s="3"/>
      <c r="Y858" s="3"/>
      <c r="Z858" s="3"/>
    </row>
    <row r="859">
      <c r="A859" s="3"/>
      <c r="B859" s="1"/>
      <c r="C859" s="1"/>
      <c r="D859" s="3"/>
      <c r="E859" s="5"/>
      <c r="F859" s="3"/>
      <c r="G859" s="3"/>
      <c r="H859" s="3"/>
      <c r="I859" s="3"/>
      <c r="J859" s="5"/>
      <c r="K859" s="3"/>
      <c r="L859" s="3"/>
      <c r="M859" s="3"/>
      <c r="N859" s="3"/>
      <c r="O859" s="3"/>
      <c r="P859" s="3"/>
      <c r="Q859" s="3"/>
      <c r="R859" s="3"/>
      <c r="S859" s="3"/>
      <c r="T859" s="3"/>
      <c r="U859" s="3"/>
      <c r="V859" s="3"/>
      <c r="W859" s="3"/>
      <c r="X859" s="3"/>
      <c r="Y859" s="3"/>
      <c r="Z859" s="3"/>
    </row>
    <row r="860">
      <c r="A860" s="3"/>
      <c r="B860" s="1"/>
      <c r="C860" s="1"/>
      <c r="D860" s="3"/>
      <c r="E860" s="5"/>
      <c r="F860" s="3"/>
      <c r="G860" s="3"/>
      <c r="H860" s="3"/>
      <c r="I860" s="3"/>
      <c r="J860" s="5"/>
      <c r="K860" s="3"/>
      <c r="L860" s="3"/>
      <c r="M860" s="3"/>
      <c r="N860" s="3"/>
      <c r="O860" s="3"/>
      <c r="P860" s="3"/>
      <c r="Q860" s="3"/>
      <c r="R860" s="3"/>
      <c r="S860" s="3"/>
      <c r="T860" s="3"/>
      <c r="U860" s="3"/>
      <c r="V860" s="3"/>
      <c r="W860" s="3"/>
      <c r="X860" s="3"/>
      <c r="Y860" s="3"/>
      <c r="Z860" s="3"/>
    </row>
    <row r="861">
      <c r="A861" s="3"/>
      <c r="B861" s="1"/>
      <c r="C861" s="1"/>
      <c r="D861" s="3"/>
      <c r="E861" s="5"/>
      <c r="F861" s="3"/>
      <c r="G861" s="3"/>
      <c r="H861" s="3"/>
      <c r="I861" s="3"/>
      <c r="J861" s="5"/>
      <c r="K861" s="3"/>
      <c r="L861" s="3"/>
      <c r="M861" s="3"/>
      <c r="N861" s="3"/>
      <c r="O861" s="3"/>
      <c r="P861" s="3"/>
      <c r="Q861" s="3"/>
      <c r="R861" s="3"/>
      <c r="S861" s="3"/>
      <c r="T861" s="3"/>
      <c r="U861" s="3"/>
      <c r="V861" s="3"/>
      <c r="W861" s="3"/>
      <c r="X861" s="3"/>
      <c r="Y861" s="3"/>
      <c r="Z861" s="3"/>
    </row>
    <row r="862">
      <c r="A862" s="3"/>
      <c r="B862" s="1"/>
      <c r="C862" s="1"/>
      <c r="D862" s="3"/>
      <c r="E862" s="5"/>
      <c r="F862" s="3"/>
      <c r="G862" s="3"/>
      <c r="H862" s="3"/>
      <c r="I862" s="3"/>
      <c r="J862" s="5"/>
      <c r="K862" s="3"/>
      <c r="L862" s="3"/>
      <c r="M862" s="3"/>
      <c r="N862" s="3"/>
      <c r="O862" s="3"/>
      <c r="P862" s="3"/>
      <c r="Q862" s="3"/>
      <c r="R862" s="3"/>
      <c r="S862" s="3"/>
      <c r="T862" s="3"/>
      <c r="U862" s="3"/>
      <c r="V862" s="3"/>
      <c r="W862" s="3"/>
      <c r="X862" s="3"/>
      <c r="Y862" s="3"/>
      <c r="Z862" s="3"/>
    </row>
    <row r="863">
      <c r="A863" s="3"/>
      <c r="B863" s="1"/>
      <c r="C863" s="1"/>
      <c r="D863" s="3"/>
      <c r="E863" s="5"/>
      <c r="F863" s="3"/>
      <c r="G863" s="3"/>
      <c r="H863" s="3"/>
      <c r="I863" s="3"/>
      <c r="J863" s="5"/>
      <c r="K863" s="3"/>
      <c r="L863" s="3"/>
      <c r="M863" s="3"/>
      <c r="N863" s="3"/>
      <c r="O863" s="3"/>
      <c r="P863" s="3"/>
      <c r="Q863" s="3"/>
      <c r="R863" s="3"/>
      <c r="S863" s="3"/>
      <c r="T863" s="3"/>
      <c r="U863" s="3"/>
      <c r="V863" s="3"/>
      <c r="W863" s="3"/>
      <c r="X863" s="3"/>
      <c r="Y863" s="3"/>
      <c r="Z863" s="3"/>
    </row>
    <row r="864">
      <c r="A864" s="3"/>
      <c r="B864" s="1"/>
      <c r="C864" s="1"/>
      <c r="D864" s="3"/>
      <c r="E864" s="5"/>
      <c r="F864" s="3"/>
      <c r="G864" s="3"/>
      <c r="H864" s="3"/>
      <c r="I864" s="3"/>
      <c r="J864" s="5"/>
      <c r="K864" s="3"/>
      <c r="L864" s="3"/>
      <c r="M864" s="3"/>
      <c r="N864" s="3"/>
      <c r="O864" s="3"/>
      <c r="P864" s="3"/>
      <c r="Q864" s="3"/>
      <c r="R864" s="3"/>
      <c r="S864" s="3"/>
      <c r="T864" s="3"/>
      <c r="U864" s="3"/>
      <c r="V864" s="3"/>
      <c r="W864" s="3"/>
      <c r="X864" s="3"/>
      <c r="Y864" s="3"/>
      <c r="Z864" s="3"/>
    </row>
    <row r="865">
      <c r="A865" s="3"/>
      <c r="B865" s="1"/>
      <c r="C865" s="1"/>
      <c r="D865" s="3"/>
      <c r="E865" s="5"/>
      <c r="F865" s="3"/>
      <c r="G865" s="3"/>
      <c r="H865" s="3"/>
      <c r="I865" s="3"/>
      <c r="J865" s="5"/>
      <c r="K865" s="3"/>
      <c r="L865" s="3"/>
      <c r="M865" s="3"/>
      <c r="N865" s="3"/>
      <c r="O865" s="3"/>
      <c r="P865" s="3"/>
      <c r="Q865" s="3"/>
      <c r="R865" s="3"/>
      <c r="S865" s="3"/>
      <c r="T865" s="3"/>
      <c r="U865" s="3"/>
      <c r="V865" s="3"/>
      <c r="W865" s="3"/>
      <c r="X865" s="3"/>
      <c r="Y865" s="3"/>
      <c r="Z865" s="3"/>
    </row>
    <row r="866">
      <c r="A866" s="3"/>
      <c r="B866" s="1"/>
      <c r="C866" s="1"/>
      <c r="D866" s="3"/>
      <c r="E866" s="5"/>
      <c r="F866" s="3"/>
      <c r="G866" s="3"/>
      <c r="H866" s="3"/>
      <c r="I866" s="3"/>
      <c r="J866" s="5"/>
      <c r="K866" s="3"/>
      <c r="L866" s="3"/>
      <c r="M866" s="3"/>
      <c r="N866" s="3"/>
      <c r="O866" s="3"/>
      <c r="P866" s="3"/>
      <c r="Q866" s="3"/>
      <c r="R866" s="3"/>
      <c r="S866" s="3"/>
      <c r="T866" s="3"/>
      <c r="U866" s="3"/>
      <c r="V866" s="3"/>
      <c r="W866" s="3"/>
      <c r="X866" s="3"/>
      <c r="Y866" s="3"/>
      <c r="Z866" s="3"/>
    </row>
    <row r="867">
      <c r="A867" s="3"/>
      <c r="B867" s="1"/>
      <c r="C867" s="1"/>
      <c r="D867" s="3"/>
      <c r="E867" s="5"/>
      <c r="F867" s="3"/>
      <c r="G867" s="3"/>
      <c r="H867" s="3"/>
      <c r="I867" s="3"/>
      <c r="J867" s="5"/>
      <c r="K867" s="3"/>
      <c r="L867" s="3"/>
      <c r="M867" s="3"/>
      <c r="N867" s="3"/>
      <c r="O867" s="3"/>
      <c r="P867" s="3"/>
      <c r="Q867" s="3"/>
      <c r="R867" s="3"/>
      <c r="S867" s="3"/>
      <c r="T867" s="3"/>
      <c r="U867" s="3"/>
      <c r="V867" s="3"/>
      <c r="W867" s="3"/>
      <c r="X867" s="3"/>
      <c r="Y867" s="3"/>
      <c r="Z867" s="3"/>
    </row>
    <row r="868">
      <c r="A868" s="3"/>
      <c r="B868" s="1"/>
      <c r="C868" s="1"/>
      <c r="D868" s="3"/>
      <c r="E868" s="5"/>
      <c r="F868" s="3"/>
      <c r="G868" s="3"/>
      <c r="H868" s="3"/>
      <c r="I868" s="3"/>
      <c r="J868" s="5"/>
      <c r="K868" s="3"/>
      <c r="L868" s="3"/>
      <c r="M868" s="3"/>
      <c r="N868" s="3"/>
      <c r="O868" s="3"/>
      <c r="P868" s="3"/>
      <c r="Q868" s="3"/>
      <c r="R868" s="3"/>
      <c r="S868" s="3"/>
      <c r="T868" s="3"/>
      <c r="U868" s="3"/>
      <c r="V868" s="3"/>
      <c r="W868" s="3"/>
      <c r="X868" s="3"/>
      <c r="Y868" s="3"/>
      <c r="Z868" s="3"/>
    </row>
    <row r="869">
      <c r="A869" s="3"/>
      <c r="B869" s="1"/>
      <c r="C869" s="1"/>
      <c r="D869" s="3"/>
      <c r="E869" s="5"/>
      <c r="F869" s="3"/>
      <c r="G869" s="3"/>
      <c r="H869" s="3"/>
      <c r="I869" s="3"/>
      <c r="J869" s="5"/>
      <c r="K869" s="3"/>
      <c r="L869" s="3"/>
      <c r="M869" s="3"/>
      <c r="N869" s="3"/>
      <c r="O869" s="3"/>
      <c r="P869" s="3"/>
      <c r="Q869" s="3"/>
      <c r="R869" s="3"/>
      <c r="S869" s="3"/>
      <c r="T869" s="3"/>
      <c r="U869" s="3"/>
      <c r="V869" s="3"/>
      <c r="W869" s="3"/>
      <c r="X869" s="3"/>
      <c r="Y869" s="3"/>
      <c r="Z869" s="3"/>
    </row>
    <row r="870">
      <c r="A870" s="3"/>
      <c r="B870" s="1"/>
      <c r="C870" s="1"/>
      <c r="D870" s="3"/>
      <c r="E870" s="5"/>
      <c r="F870" s="3"/>
      <c r="G870" s="3"/>
      <c r="H870" s="3"/>
      <c r="I870" s="3"/>
      <c r="J870" s="5"/>
      <c r="K870" s="3"/>
      <c r="L870" s="3"/>
      <c r="M870" s="3"/>
      <c r="N870" s="3"/>
      <c r="O870" s="3"/>
      <c r="P870" s="3"/>
      <c r="Q870" s="3"/>
      <c r="R870" s="3"/>
      <c r="S870" s="3"/>
      <c r="T870" s="3"/>
      <c r="U870" s="3"/>
      <c r="V870" s="3"/>
      <c r="W870" s="3"/>
      <c r="X870" s="3"/>
      <c r="Y870" s="3"/>
      <c r="Z870" s="3"/>
    </row>
    <row r="871">
      <c r="A871" s="3"/>
      <c r="B871" s="1"/>
      <c r="C871" s="1"/>
      <c r="D871" s="3"/>
      <c r="E871" s="5"/>
      <c r="F871" s="3"/>
      <c r="G871" s="3"/>
      <c r="H871" s="3"/>
      <c r="I871" s="3"/>
      <c r="J871" s="5"/>
      <c r="K871" s="3"/>
      <c r="L871" s="3"/>
      <c r="M871" s="3"/>
      <c r="N871" s="3"/>
      <c r="O871" s="3"/>
      <c r="P871" s="3"/>
      <c r="Q871" s="3"/>
      <c r="R871" s="3"/>
      <c r="S871" s="3"/>
      <c r="T871" s="3"/>
      <c r="U871" s="3"/>
      <c r="V871" s="3"/>
      <c r="W871" s="3"/>
      <c r="X871" s="3"/>
      <c r="Y871" s="3"/>
      <c r="Z871" s="3"/>
    </row>
    <row r="872">
      <c r="A872" s="3"/>
      <c r="B872" s="1"/>
      <c r="C872" s="1"/>
      <c r="D872" s="3"/>
      <c r="E872" s="5"/>
      <c r="F872" s="3"/>
      <c r="G872" s="3"/>
      <c r="H872" s="3"/>
      <c r="I872" s="3"/>
      <c r="J872" s="5"/>
      <c r="K872" s="3"/>
      <c r="L872" s="3"/>
      <c r="M872" s="3"/>
      <c r="N872" s="3"/>
      <c r="O872" s="3"/>
      <c r="P872" s="3"/>
      <c r="Q872" s="3"/>
      <c r="R872" s="3"/>
      <c r="S872" s="3"/>
      <c r="T872" s="3"/>
      <c r="U872" s="3"/>
      <c r="V872" s="3"/>
      <c r="W872" s="3"/>
      <c r="X872" s="3"/>
      <c r="Y872" s="3"/>
      <c r="Z872" s="3"/>
    </row>
    <row r="873">
      <c r="A873" s="3"/>
      <c r="B873" s="1"/>
      <c r="C873" s="1"/>
      <c r="D873" s="3"/>
      <c r="E873" s="5"/>
      <c r="F873" s="3"/>
      <c r="G873" s="3"/>
      <c r="H873" s="3"/>
      <c r="I873" s="3"/>
      <c r="J873" s="5"/>
      <c r="K873" s="3"/>
      <c r="L873" s="3"/>
      <c r="M873" s="3"/>
      <c r="N873" s="3"/>
      <c r="O873" s="3"/>
      <c r="P873" s="3"/>
      <c r="Q873" s="3"/>
      <c r="R873" s="3"/>
      <c r="S873" s="3"/>
      <c r="T873" s="3"/>
      <c r="U873" s="3"/>
      <c r="V873" s="3"/>
      <c r="W873" s="3"/>
      <c r="X873" s="3"/>
      <c r="Y873" s="3"/>
      <c r="Z873" s="3"/>
    </row>
    <row r="874">
      <c r="A874" s="3"/>
      <c r="B874" s="1"/>
      <c r="C874" s="1"/>
      <c r="D874" s="3"/>
      <c r="E874" s="5"/>
      <c r="F874" s="3"/>
      <c r="G874" s="3"/>
      <c r="H874" s="3"/>
      <c r="I874" s="3"/>
      <c r="J874" s="5"/>
      <c r="K874" s="3"/>
      <c r="L874" s="3"/>
      <c r="M874" s="3"/>
      <c r="N874" s="3"/>
      <c r="O874" s="3"/>
      <c r="P874" s="3"/>
      <c r="Q874" s="3"/>
      <c r="R874" s="3"/>
      <c r="S874" s="3"/>
      <c r="T874" s="3"/>
      <c r="U874" s="3"/>
      <c r="V874" s="3"/>
      <c r="W874" s="3"/>
      <c r="X874" s="3"/>
      <c r="Y874" s="3"/>
      <c r="Z874" s="3"/>
    </row>
    <row r="875">
      <c r="A875" s="3"/>
      <c r="B875" s="1"/>
      <c r="C875" s="1"/>
      <c r="D875" s="3"/>
      <c r="E875" s="5"/>
      <c r="F875" s="3"/>
      <c r="G875" s="3"/>
      <c r="H875" s="3"/>
      <c r="I875" s="3"/>
      <c r="J875" s="5"/>
      <c r="K875" s="3"/>
      <c r="L875" s="3"/>
      <c r="M875" s="3"/>
      <c r="N875" s="3"/>
      <c r="O875" s="3"/>
      <c r="P875" s="3"/>
      <c r="Q875" s="3"/>
      <c r="R875" s="3"/>
      <c r="S875" s="3"/>
      <c r="T875" s="3"/>
      <c r="U875" s="3"/>
      <c r="V875" s="3"/>
      <c r="W875" s="3"/>
      <c r="X875" s="3"/>
      <c r="Y875" s="3"/>
      <c r="Z875" s="3"/>
    </row>
    <row r="876">
      <c r="A876" s="3"/>
      <c r="B876" s="1"/>
      <c r="C876" s="1"/>
      <c r="D876" s="3"/>
      <c r="E876" s="5"/>
      <c r="F876" s="3"/>
      <c r="G876" s="3"/>
      <c r="H876" s="3"/>
      <c r="I876" s="3"/>
      <c r="J876" s="5"/>
      <c r="K876" s="3"/>
      <c r="L876" s="3"/>
      <c r="M876" s="3"/>
      <c r="N876" s="3"/>
      <c r="O876" s="3"/>
      <c r="P876" s="3"/>
      <c r="Q876" s="3"/>
      <c r="R876" s="3"/>
      <c r="S876" s="3"/>
      <c r="T876" s="3"/>
      <c r="U876" s="3"/>
      <c r="V876" s="3"/>
      <c r="W876" s="3"/>
      <c r="X876" s="3"/>
      <c r="Y876" s="3"/>
      <c r="Z876" s="3"/>
    </row>
    <row r="877">
      <c r="A877" s="3"/>
      <c r="B877" s="1"/>
      <c r="C877" s="1"/>
      <c r="D877" s="3"/>
      <c r="E877" s="5"/>
      <c r="F877" s="3"/>
      <c r="G877" s="3"/>
      <c r="H877" s="3"/>
      <c r="I877" s="3"/>
      <c r="J877" s="5"/>
      <c r="K877" s="3"/>
      <c r="L877" s="3"/>
      <c r="M877" s="3"/>
      <c r="N877" s="3"/>
      <c r="O877" s="3"/>
      <c r="P877" s="3"/>
      <c r="Q877" s="3"/>
      <c r="R877" s="3"/>
      <c r="S877" s="3"/>
      <c r="T877" s="3"/>
      <c r="U877" s="3"/>
      <c r="V877" s="3"/>
      <c r="W877" s="3"/>
      <c r="X877" s="3"/>
      <c r="Y877" s="3"/>
      <c r="Z877" s="3"/>
    </row>
    <row r="878">
      <c r="A878" s="3"/>
      <c r="B878" s="1"/>
      <c r="C878" s="1"/>
      <c r="D878" s="3"/>
      <c r="E878" s="5"/>
      <c r="F878" s="3"/>
      <c r="G878" s="3"/>
      <c r="H878" s="3"/>
      <c r="I878" s="3"/>
      <c r="J878" s="5"/>
      <c r="K878" s="3"/>
      <c r="L878" s="3"/>
      <c r="M878" s="3"/>
      <c r="N878" s="3"/>
      <c r="O878" s="3"/>
      <c r="P878" s="3"/>
      <c r="Q878" s="3"/>
      <c r="R878" s="3"/>
      <c r="S878" s="3"/>
      <c r="T878" s="3"/>
      <c r="U878" s="3"/>
      <c r="V878" s="3"/>
      <c r="W878" s="3"/>
      <c r="X878" s="3"/>
      <c r="Y878" s="3"/>
      <c r="Z878" s="3"/>
    </row>
    <row r="879">
      <c r="A879" s="3"/>
      <c r="B879" s="1"/>
      <c r="C879" s="1"/>
      <c r="D879" s="3"/>
      <c r="E879" s="5"/>
      <c r="F879" s="3"/>
      <c r="G879" s="3"/>
      <c r="H879" s="3"/>
      <c r="I879" s="3"/>
      <c r="J879" s="5"/>
      <c r="K879" s="3"/>
      <c r="L879" s="3"/>
      <c r="M879" s="3"/>
      <c r="N879" s="3"/>
      <c r="O879" s="3"/>
      <c r="P879" s="3"/>
      <c r="Q879" s="3"/>
      <c r="R879" s="3"/>
      <c r="S879" s="3"/>
      <c r="T879" s="3"/>
      <c r="U879" s="3"/>
      <c r="V879" s="3"/>
      <c r="W879" s="3"/>
      <c r="X879" s="3"/>
      <c r="Y879" s="3"/>
      <c r="Z879" s="3"/>
    </row>
    <row r="880">
      <c r="A880" s="3"/>
      <c r="B880" s="1"/>
      <c r="C880" s="1"/>
      <c r="D880" s="3"/>
      <c r="E880" s="5"/>
      <c r="F880" s="3"/>
      <c r="G880" s="3"/>
      <c r="H880" s="3"/>
      <c r="I880" s="3"/>
      <c r="J880" s="5"/>
      <c r="K880" s="3"/>
      <c r="L880" s="3"/>
      <c r="M880" s="3"/>
      <c r="N880" s="3"/>
      <c r="O880" s="3"/>
      <c r="P880" s="3"/>
      <c r="Q880" s="3"/>
      <c r="R880" s="3"/>
      <c r="S880" s="3"/>
      <c r="T880" s="3"/>
      <c r="U880" s="3"/>
      <c r="V880" s="3"/>
      <c r="W880" s="3"/>
      <c r="X880" s="3"/>
      <c r="Y880" s="3"/>
      <c r="Z880" s="3"/>
    </row>
    <row r="881">
      <c r="A881" s="3"/>
      <c r="B881" s="1"/>
      <c r="C881" s="1"/>
      <c r="D881" s="3"/>
      <c r="E881" s="5"/>
      <c r="F881" s="3"/>
      <c r="G881" s="3"/>
      <c r="H881" s="3"/>
      <c r="I881" s="3"/>
      <c r="J881" s="5"/>
      <c r="K881" s="3"/>
      <c r="L881" s="3"/>
      <c r="M881" s="3"/>
      <c r="N881" s="3"/>
      <c r="O881" s="3"/>
      <c r="P881" s="3"/>
      <c r="Q881" s="3"/>
      <c r="R881" s="3"/>
      <c r="S881" s="3"/>
      <c r="T881" s="3"/>
      <c r="U881" s="3"/>
      <c r="V881" s="3"/>
      <c r="W881" s="3"/>
      <c r="X881" s="3"/>
      <c r="Y881" s="3"/>
      <c r="Z881" s="3"/>
    </row>
    <row r="882">
      <c r="A882" s="3"/>
      <c r="B882" s="1"/>
      <c r="C882" s="1"/>
      <c r="D882" s="3"/>
      <c r="E882" s="5"/>
      <c r="F882" s="3"/>
      <c r="G882" s="3"/>
      <c r="H882" s="3"/>
      <c r="I882" s="3"/>
      <c r="J882" s="5"/>
      <c r="K882" s="3"/>
      <c r="L882" s="3"/>
      <c r="M882" s="3"/>
      <c r="N882" s="3"/>
      <c r="O882" s="3"/>
      <c r="P882" s="3"/>
      <c r="Q882" s="3"/>
      <c r="R882" s="3"/>
      <c r="S882" s="3"/>
      <c r="T882" s="3"/>
      <c r="U882" s="3"/>
      <c r="V882" s="3"/>
      <c r="W882" s="3"/>
      <c r="X882" s="3"/>
      <c r="Y882" s="3"/>
      <c r="Z882" s="3"/>
    </row>
    <row r="883">
      <c r="A883" s="3"/>
      <c r="B883" s="1"/>
      <c r="C883" s="1"/>
      <c r="D883" s="3"/>
      <c r="E883" s="5"/>
      <c r="F883" s="3"/>
      <c r="G883" s="3"/>
      <c r="H883" s="3"/>
      <c r="I883" s="3"/>
      <c r="J883" s="5"/>
      <c r="K883" s="3"/>
      <c r="L883" s="3"/>
      <c r="M883" s="3"/>
      <c r="N883" s="3"/>
      <c r="O883" s="3"/>
      <c r="P883" s="3"/>
      <c r="Q883" s="3"/>
      <c r="R883" s="3"/>
      <c r="S883" s="3"/>
      <c r="T883" s="3"/>
      <c r="U883" s="3"/>
      <c r="V883" s="3"/>
      <c r="W883" s="3"/>
      <c r="X883" s="3"/>
      <c r="Y883" s="3"/>
      <c r="Z883" s="3"/>
    </row>
    <row r="884">
      <c r="A884" s="3"/>
      <c r="B884" s="1"/>
      <c r="C884" s="1"/>
      <c r="D884" s="3"/>
      <c r="E884" s="5"/>
      <c r="F884" s="3"/>
      <c r="G884" s="3"/>
      <c r="H884" s="3"/>
      <c r="I884" s="3"/>
      <c r="J884" s="5"/>
      <c r="K884" s="3"/>
      <c r="L884" s="3"/>
      <c r="M884" s="3"/>
      <c r="N884" s="3"/>
      <c r="O884" s="3"/>
      <c r="P884" s="3"/>
      <c r="Q884" s="3"/>
      <c r="R884" s="3"/>
      <c r="S884" s="3"/>
      <c r="T884" s="3"/>
      <c r="U884" s="3"/>
      <c r="V884" s="3"/>
      <c r="W884" s="3"/>
      <c r="X884" s="3"/>
      <c r="Y884" s="3"/>
      <c r="Z884" s="3"/>
    </row>
    <row r="885">
      <c r="A885" s="3"/>
      <c r="B885" s="1"/>
      <c r="C885" s="1"/>
      <c r="D885" s="3"/>
      <c r="E885" s="5"/>
      <c r="F885" s="3"/>
      <c r="G885" s="3"/>
      <c r="H885" s="3"/>
      <c r="I885" s="3"/>
      <c r="J885" s="5"/>
      <c r="K885" s="3"/>
      <c r="L885" s="3"/>
      <c r="M885" s="3"/>
      <c r="N885" s="3"/>
      <c r="O885" s="3"/>
      <c r="P885" s="3"/>
      <c r="Q885" s="3"/>
      <c r="R885" s="3"/>
      <c r="S885" s="3"/>
      <c r="T885" s="3"/>
      <c r="U885" s="3"/>
      <c r="V885" s="3"/>
      <c r="W885" s="3"/>
      <c r="X885" s="3"/>
      <c r="Y885" s="3"/>
      <c r="Z885" s="3"/>
    </row>
    <row r="886">
      <c r="A886" s="3"/>
      <c r="B886" s="1"/>
      <c r="C886" s="1"/>
      <c r="D886" s="3"/>
      <c r="E886" s="5"/>
      <c r="F886" s="3"/>
      <c r="G886" s="3"/>
      <c r="H886" s="3"/>
      <c r="I886" s="3"/>
      <c r="J886" s="5"/>
      <c r="K886" s="3"/>
      <c r="L886" s="3"/>
      <c r="M886" s="3"/>
      <c r="N886" s="3"/>
      <c r="O886" s="3"/>
      <c r="P886" s="3"/>
      <c r="Q886" s="3"/>
      <c r="R886" s="3"/>
      <c r="S886" s="3"/>
      <c r="T886" s="3"/>
      <c r="U886" s="3"/>
      <c r="V886" s="3"/>
      <c r="W886" s="3"/>
      <c r="X886" s="3"/>
      <c r="Y886" s="3"/>
      <c r="Z886" s="3"/>
    </row>
    <row r="887">
      <c r="A887" s="3"/>
      <c r="B887" s="1"/>
      <c r="C887" s="1"/>
      <c r="D887" s="3"/>
      <c r="E887" s="5"/>
      <c r="F887" s="3"/>
      <c r="G887" s="3"/>
      <c r="H887" s="3"/>
      <c r="I887" s="3"/>
      <c r="J887" s="5"/>
      <c r="K887" s="3"/>
      <c r="L887" s="3"/>
      <c r="M887" s="3"/>
      <c r="N887" s="3"/>
      <c r="O887" s="3"/>
      <c r="P887" s="3"/>
      <c r="Q887" s="3"/>
      <c r="R887" s="3"/>
      <c r="S887" s="3"/>
      <c r="T887" s="3"/>
      <c r="U887" s="3"/>
      <c r="V887" s="3"/>
      <c r="W887" s="3"/>
      <c r="X887" s="3"/>
      <c r="Y887" s="3"/>
      <c r="Z887" s="3"/>
    </row>
    <row r="888">
      <c r="A888" s="3"/>
      <c r="B888" s="1"/>
      <c r="C888" s="1"/>
      <c r="D888" s="3"/>
      <c r="E888" s="5"/>
      <c r="F888" s="3"/>
      <c r="G888" s="3"/>
      <c r="H888" s="3"/>
      <c r="I888" s="3"/>
      <c r="J888" s="5"/>
      <c r="K888" s="3"/>
      <c r="L888" s="3"/>
      <c r="M888" s="3"/>
      <c r="N888" s="3"/>
      <c r="O888" s="3"/>
      <c r="P888" s="3"/>
      <c r="Q888" s="3"/>
      <c r="R888" s="3"/>
      <c r="S888" s="3"/>
      <c r="T888" s="3"/>
      <c r="U888" s="3"/>
      <c r="V888" s="3"/>
      <c r="W888" s="3"/>
      <c r="X888" s="3"/>
      <c r="Y888" s="3"/>
      <c r="Z888" s="3"/>
    </row>
    <row r="889">
      <c r="A889" s="3"/>
      <c r="B889" s="1"/>
      <c r="C889" s="1"/>
      <c r="D889" s="3"/>
      <c r="E889" s="5"/>
      <c r="F889" s="3"/>
      <c r="G889" s="3"/>
      <c r="H889" s="3"/>
      <c r="I889" s="3"/>
      <c r="J889" s="5"/>
      <c r="K889" s="3"/>
      <c r="L889" s="3"/>
      <c r="M889" s="3"/>
      <c r="N889" s="3"/>
      <c r="O889" s="3"/>
      <c r="P889" s="3"/>
      <c r="Q889" s="3"/>
      <c r="R889" s="3"/>
      <c r="S889" s="3"/>
      <c r="T889" s="3"/>
      <c r="U889" s="3"/>
      <c r="V889" s="3"/>
      <c r="W889" s="3"/>
      <c r="X889" s="3"/>
      <c r="Y889" s="3"/>
      <c r="Z889" s="3"/>
    </row>
    <row r="890">
      <c r="A890" s="3"/>
      <c r="B890" s="1"/>
      <c r="C890" s="1"/>
      <c r="D890" s="3"/>
      <c r="E890" s="5"/>
      <c r="F890" s="3"/>
      <c r="G890" s="3"/>
      <c r="H890" s="3"/>
      <c r="I890" s="3"/>
      <c r="J890" s="5"/>
      <c r="K890" s="3"/>
      <c r="L890" s="3"/>
      <c r="M890" s="3"/>
      <c r="N890" s="3"/>
      <c r="O890" s="3"/>
      <c r="P890" s="3"/>
      <c r="Q890" s="3"/>
      <c r="R890" s="3"/>
      <c r="S890" s="3"/>
      <c r="T890" s="3"/>
      <c r="U890" s="3"/>
      <c r="V890" s="3"/>
      <c r="W890" s="3"/>
      <c r="X890" s="3"/>
      <c r="Y890" s="3"/>
      <c r="Z890" s="3"/>
    </row>
    <row r="891">
      <c r="A891" s="3"/>
      <c r="B891" s="1"/>
      <c r="C891" s="1"/>
      <c r="D891" s="3"/>
      <c r="E891" s="5"/>
      <c r="F891" s="3"/>
      <c r="G891" s="3"/>
      <c r="H891" s="3"/>
      <c r="I891" s="3"/>
      <c r="J891" s="5"/>
      <c r="K891" s="3"/>
      <c r="L891" s="3"/>
      <c r="M891" s="3"/>
      <c r="N891" s="3"/>
      <c r="O891" s="3"/>
      <c r="P891" s="3"/>
      <c r="Q891" s="3"/>
      <c r="R891" s="3"/>
      <c r="S891" s="3"/>
      <c r="T891" s="3"/>
      <c r="U891" s="3"/>
      <c r="V891" s="3"/>
      <c r="W891" s="3"/>
      <c r="X891" s="3"/>
      <c r="Y891" s="3"/>
      <c r="Z891" s="3"/>
    </row>
    <row r="892">
      <c r="A892" s="3"/>
      <c r="B892" s="1"/>
      <c r="C892" s="1"/>
      <c r="D892" s="3"/>
      <c r="E892" s="5"/>
      <c r="F892" s="3"/>
      <c r="G892" s="3"/>
      <c r="H892" s="3"/>
      <c r="I892" s="3"/>
      <c r="J892" s="5"/>
      <c r="K892" s="3"/>
      <c r="L892" s="3"/>
      <c r="M892" s="3"/>
      <c r="N892" s="3"/>
      <c r="O892" s="3"/>
      <c r="P892" s="3"/>
      <c r="Q892" s="3"/>
      <c r="R892" s="3"/>
      <c r="S892" s="3"/>
      <c r="T892" s="3"/>
      <c r="U892" s="3"/>
      <c r="V892" s="3"/>
      <c r="W892" s="3"/>
      <c r="X892" s="3"/>
      <c r="Y892" s="3"/>
      <c r="Z892" s="3"/>
    </row>
    <row r="893">
      <c r="A893" s="3"/>
      <c r="B893" s="1"/>
      <c r="C893" s="1"/>
      <c r="D893" s="3"/>
      <c r="E893" s="5"/>
      <c r="F893" s="3"/>
      <c r="G893" s="3"/>
      <c r="H893" s="3"/>
      <c r="I893" s="3"/>
      <c r="J893" s="5"/>
      <c r="K893" s="3"/>
      <c r="L893" s="3"/>
      <c r="M893" s="3"/>
      <c r="N893" s="3"/>
      <c r="O893" s="3"/>
      <c r="P893" s="3"/>
      <c r="Q893" s="3"/>
      <c r="R893" s="3"/>
      <c r="S893" s="3"/>
      <c r="T893" s="3"/>
      <c r="U893" s="3"/>
      <c r="V893" s="3"/>
      <c r="W893" s="3"/>
      <c r="X893" s="3"/>
      <c r="Y893" s="3"/>
      <c r="Z893" s="3"/>
    </row>
    <row r="894">
      <c r="A894" s="3"/>
      <c r="B894" s="1"/>
      <c r="C894" s="1"/>
      <c r="D894" s="3"/>
      <c r="E894" s="5"/>
      <c r="F894" s="3"/>
      <c r="G894" s="3"/>
      <c r="H894" s="3"/>
      <c r="I894" s="3"/>
      <c r="J894" s="5"/>
      <c r="K894" s="3"/>
      <c r="L894" s="3"/>
      <c r="M894" s="3"/>
      <c r="N894" s="3"/>
      <c r="O894" s="3"/>
      <c r="P894" s="3"/>
      <c r="Q894" s="3"/>
      <c r="R894" s="3"/>
      <c r="S894" s="3"/>
      <c r="T894" s="3"/>
      <c r="U894" s="3"/>
      <c r="V894" s="3"/>
      <c r="W894" s="3"/>
      <c r="X894" s="3"/>
      <c r="Y894" s="3"/>
      <c r="Z894" s="3"/>
    </row>
    <row r="895">
      <c r="A895" s="3"/>
      <c r="B895" s="1"/>
      <c r="C895" s="1"/>
      <c r="D895" s="3"/>
      <c r="E895" s="5"/>
      <c r="F895" s="3"/>
      <c r="G895" s="3"/>
      <c r="H895" s="3"/>
      <c r="I895" s="3"/>
      <c r="J895" s="5"/>
      <c r="K895" s="3"/>
      <c r="L895" s="3"/>
      <c r="M895" s="3"/>
      <c r="N895" s="3"/>
      <c r="O895" s="3"/>
      <c r="P895" s="3"/>
      <c r="Q895" s="3"/>
      <c r="R895" s="3"/>
      <c r="S895" s="3"/>
      <c r="T895" s="3"/>
      <c r="U895" s="3"/>
      <c r="V895" s="3"/>
      <c r="W895" s="3"/>
      <c r="X895" s="3"/>
      <c r="Y895" s="3"/>
      <c r="Z895" s="3"/>
    </row>
    <row r="896">
      <c r="A896" s="3"/>
      <c r="B896" s="1"/>
      <c r="C896" s="1"/>
      <c r="D896" s="3"/>
      <c r="E896" s="5"/>
      <c r="F896" s="3"/>
      <c r="G896" s="3"/>
      <c r="H896" s="3"/>
      <c r="I896" s="3"/>
      <c r="J896" s="5"/>
      <c r="K896" s="3"/>
      <c r="L896" s="3"/>
      <c r="M896" s="3"/>
      <c r="N896" s="3"/>
      <c r="O896" s="3"/>
      <c r="P896" s="3"/>
      <c r="Q896" s="3"/>
      <c r="R896" s="3"/>
      <c r="S896" s="3"/>
      <c r="T896" s="3"/>
      <c r="U896" s="3"/>
      <c r="V896" s="3"/>
      <c r="W896" s="3"/>
      <c r="X896" s="3"/>
      <c r="Y896" s="3"/>
      <c r="Z896" s="3"/>
    </row>
    <row r="897">
      <c r="A897" s="3"/>
      <c r="B897" s="1"/>
      <c r="C897" s="1"/>
      <c r="D897" s="3"/>
      <c r="E897" s="5"/>
      <c r="F897" s="3"/>
      <c r="G897" s="3"/>
      <c r="H897" s="3"/>
      <c r="I897" s="3"/>
      <c r="J897" s="5"/>
      <c r="K897" s="3"/>
      <c r="L897" s="3"/>
      <c r="M897" s="3"/>
      <c r="N897" s="3"/>
      <c r="O897" s="3"/>
      <c r="P897" s="3"/>
      <c r="Q897" s="3"/>
      <c r="R897" s="3"/>
      <c r="S897" s="3"/>
      <c r="T897" s="3"/>
      <c r="U897" s="3"/>
      <c r="V897" s="3"/>
      <c r="W897" s="3"/>
      <c r="X897" s="3"/>
      <c r="Y897" s="3"/>
      <c r="Z897" s="3"/>
    </row>
    <row r="898">
      <c r="A898" s="3"/>
      <c r="B898" s="1"/>
      <c r="C898" s="1"/>
      <c r="D898" s="3"/>
      <c r="E898" s="5"/>
      <c r="F898" s="3"/>
      <c r="G898" s="3"/>
      <c r="H898" s="3"/>
      <c r="I898" s="3"/>
      <c r="J898" s="5"/>
      <c r="K898" s="3"/>
      <c r="L898" s="3"/>
      <c r="M898" s="3"/>
      <c r="N898" s="3"/>
      <c r="O898" s="3"/>
      <c r="P898" s="3"/>
      <c r="Q898" s="3"/>
      <c r="R898" s="3"/>
      <c r="S898" s="3"/>
      <c r="T898" s="3"/>
      <c r="U898" s="3"/>
      <c r="V898" s="3"/>
      <c r="W898" s="3"/>
      <c r="X898" s="3"/>
      <c r="Y898" s="3"/>
      <c r="Z898" s="3"/>
    </row>
    <row r="899">
      <c r="A899" s="3"/>
      <c r="B899" s="1"/>
      <c r="C899" s="1"/>
      <c r="D899" s="3"/>
      <c r="E899" s="5"/>
      <c r="F899" s="3"/>
      <c r="G899" s="3"/>
      <c r="H899" s="3"/>
      <c r="I899" s="3"/>
      <c r="J899" s="5"/>
      <c r="K899" s="3"/>
      <c r="L899" s="3"/>
      <c r="M899" s="3"/>
      <c r="N899" s="3"/>
      <c r="O899" s="3"/>
      <c r="P899" s="3"/>
      <c r="Q899" s="3"/>
      <c r="R899" s="3"/>
      <c r="S899" s="3"/>
      <c r="T899" s="3"/>
      <c r="U899" s="3"/>
      <c r="V899" s="3"/>
      <c r="W899" s="3"/>
      <c r="X899" s="3"/>
      <c r="Y899" s="3"/>
      <c r="Z899" s="3"/>
    </row>
    <row r="900">
      <c r="A900" s="3"/>
      <c r="B900" s="1"/>
      <c r="C900" s="1"/>
      <c r="D900" s="3"/>
      <c r="E900" s="5"/>
      <c r="F900" s="3"/>
      <c r="G900" s="3"/>
      <c r="H900" s="3"/>
      <c r="I900" s="3"/>
      <c r="J900" s="5"/>
      <c r="K900" s="3"/>
      <c r="L900" s="3"/>
      <c r="M900" s="3"/>
      <c r="N900" s="3"/>
      <c r="O900" s="3"/>
      <c r="P900" s="3"/>
      <c r="Q900" s="3"/>
      <c r="R900" s="3"/>
      <c r="S900" s="3"/>
      <c r="T900" s="3"/>
      <c r="U900" s="3"/>
      <c r="V900" s="3"/>
      <c r="W900" s="3"/>
      <c r="X900" s="3"/>
      <c r="Y900" s="3"/>
      <c r="Z900" s="3"/>
    </row>
    <row r="901">
      <c r="A901" s="3"/>
      <c r="B901" s="1"/>
      <c r="C901" s="1"/>
      <c r="D901" s="3"/>
      <c r="E901" s="5"/>
      <c r="F901" s="3"/>
      <c r="G901" s="3"/>
      <c r="H901" s="3"/>
      <c r="I901" s="3"/>
      <c r="J901" s="5"/>
      <c r="K901" s="3"/>
      <c r="L901" s="3"/>
      <c r="M901" s="3"/>
      <c r="N901" s="3"/>
      <c r="O901" s="3"/>
      <c r="P901" s="3"/>
      <c r="Q901" s="3"/>
      <c r="R901" s="3"/>
      <c r="S901" s="3"/>
      <c r="T901" s="3"/>
      <c r="U901" s="3"/>
      <c r="V901" s="3"/>
      <c r="W901" s="3"/>
      <c r="X901" s="3"/>
      <c r="Y901" s="3"/>
      <c r="Z901" s="3"/>
    </row>
    <row r="902">
      <c r="A902" s="3"/>
      <c r="B902" s="1"/>
      <c r="C902" s="1"/>
      <c r="D902" s="3"/>
      <c r="E902" s="5"/>
      <c r="F902" s="3"/>
      <c r="G902" s="3"/>
      <c r="H902" s="3"/>
      <c r="I902" s="3"/>
      <c r="J902" s="5"/>
      <c r="K902" s="3"/>
      <c r="L902" s="3"/>
      <c r="M902" s="3"/>
      <c r="N902" s="3"/>
      <c r="O902" s="3"/>
      <c r="P902" s="3"/>
      <c r="Q902" s="3"/>
      <c r="R902" s="3"/>
      <c r="S902" s="3"/>
      <c r="T902" s="3"/>
      <c r="U902" s="3"/>
      <c r="V902" s="3"/>
      <c r="W902" s="3"/>
      <c r="X902" s="3"/>
      <c r="Y902" s="3"/>
      <c r="Z902" s="3"/>
    </row>
    <row r="903">
      <c r="A903" s="3"/>
      <c r="B903" s="1"/>
      <c r="C903" s="1"/>
      <c r="D903" s="3"/>
      <c r="E903" s="5"/>
      <c r="F903" s="3"/>
      <c r="G903" s="3"/>
      <c r="H903" s="3"/>
      <c r="I903" s="3"/>
      <c r="J903" s="5"/>
      <c r="K903" s="3"/>
      <c r="L903" s="3"/>
      <c r="M903" s="3"/>
      <c r="N903" s="3"/>
      <c r="O903" s="3"/>
      <c r="P903" s="3"/>
      <c r="Q903" s="3"/>
      <c r="R903" s="3"/>
      <c r="S903" s="3"/>
      <c r="T903" s="3"/>
      <c r="U903" s="3"/>
      <c r="V903" s="3"/>
      <c r="W903" s="3"/>
      <c r="X903" s="3"/>
      <c r="Y903" s="3"/>
      <c r="Z903" s="3"/>
    </row>
    <row r="904">
      <c r="A904" s="3"/>
      <c r="B904" s="1"/>
      <c r="C904" s="1"/>
      <c r="D904" s="3"/>
      <c r="E904" s="5"/>
      <c r="F904" s="3"/>
      <c r="G904" s="3"/>
      <c r="H904" s="3"/>
      <c r="I904" s="3"/>
      <c r="J904" s="5"/>
      <c r="K904" s="3"/>
      <c r="L904" s="3"/>
      <c r="M904" s="3"/>
      <c r="N904" s="3"/>
      <c r="O904" s="3"/>
      <c r="P904" s="3"/>
      <c r="Q904" s="3"/>
      <c r="R904" s="3"/>
      <c r="S904" s="3"/>
      <c r="T904" s="3"/>
      <c r="U904" s="3"/>
      <c r="V904" s="3"/>
      <c r="W904" s="3"/>
      <c r="X904" s="3"/>
      <c r="Y904" s="3"/>
      <c r="Z904" s="3"/>
    </row>
    <row r="905">
      <c r="A905" s="3"/>
      <c r="B905" s="1"/>
      <c r="C905" s="1"/>
      <c r="D905" s="3"/>
      <c r="E905" s="5"/>
      <c r="F905" s="3"/>
      <c r="G905" s="3"/>
      <c r="H905" s="3"/>
      <c r="I905" s="3"/>
      <c r="J905" s="5"/>
      <c r="K905" s="3"/>
      <c r="L905" s="3"/>
      <c r="M905" s="3"/>
      <c r="N905" s="3"/>
      <c r="O905" s="3"/>
      <c r="P905" s="3"/>
      <c r="Q905" s="3"/>
      <c r="R905" s="3"/>
      <c r="S905" s="3"/>
      <c r="T905" s="3"/>
      <c r="U905" s="3"/>
      <c r="V905" s="3"/>
      <c r="W905" s="3"/>
      <c r="X905" s="3"/>
      <c r="Y905" s="3"/>
      <c r="Z905" s="3"/>
    </row>
    <row r="906">
      <c r="A906" s="3"/>
      <c r="B906" s="1"/>
      <c r="C906" s="1"/>
      <c r="D906" s="3"/>
      <c r="E906" s="5"/>
      <c r="F906" s="3"/>
      <c r="G906" s="3"/>
      <c r="H906" s="3"/>
      <c r="I906" s="3"/>
      <c r="J906" s="5"/>
      <c r="K906" s="3"/>
      <c r="L906" s="3"/>
      <c r="M906" s="3"/>
      <c r="N906" s="3"/>
      <c r="O906" s="3"/>
      <c r="P906" s="3"/>
      <c r="Q906" s="3"/>
      <c r="R906" s="3"/>
      <c r="S906" s="3"/>
      <c r="T906" s="3"/>
      <c r="U906" s="3"/>
      <c r="V906" s="3"/>
      <c r="W906" s="3"/>
      <c r="X906" s="3"/>
      <c r="Y906" s="3"/>
      <c r="Z906" s="3"/>
    </row>
    <row r="907">
      <c r="A907" s="3"/>
      <c r="B907" s="1"/>
      <c r="C907" s="1"/>
      <c r="D907" s="3"/>
      <c r="E907" s="5"/>
      <c r="F907" s="3"/>
      <c r="G907" s="3"/>
      <c r="H907" s="3"/>
      <c r="I907" s="3"/>
      <c r="J907" s="5"/>
      <c r="K907" s="3"/>
      <c r="L907" s="3"/>
      <c r="M907" s="3"/>
      <c r="N907" s="3"/>
      <c r="O907" s="3"/>
      <c r="P907" s="3"/>
      <c r="Q907" s="3"/>
      <c r="R907" s="3"/>
      <c r="S907" s="3"/>
      <c r="T907" s="3"/>
      <c r="U907" s="3"/>
      <c r="V907" s="3"/>
      <c r="W907" s="3"/>
      <c r="X907" s="3"/>
      <c r="Y907" s="3"/>
      <c r="Z907" s="3"/>
    </row>
    <row r="908">
      <c r="A908" s="3"/>
      <c r="B908" s="1"/>
      <c r="C908" s="1"/>
      <c r="D908" s="3"/>
      <c r="E908" s="5"/>
      <c r="F908" s="3"/>
      <c r="G908" s="3"/>
      <c r="H908" s="3"/>
      <c r="I908" s="3"/>
      <c r="J908" s="5"/>
      <c r="K908" s="3"/>
      <c r="L908" s="3"/>
      <c r="M908" s="3"/>
      <c r="N908" s="3"/>
      <c r="O908" s="3"/>
      <c r="P908" s="3"/>
      <c r="Q908" s="3"/>
      <c r="R908" s="3"/>
      <c r="S908" s="3"/>
      <c r="T908" s="3"/>
      <c r="U908" s="3"/>
      <c r="V908" s="3"/>
      <c r="W908" s="3"/>
      <c r="X908" s="3"/>
      <c r="Y908" s="3"/>
      <c r="Z908" s="3"/>
    </row>
    <row r="909">
      <c r="A909" s="3"/>
      <c r="B909" s="1"/>
      <c r="C909" s="1"/>
      <c r="D909" s="3"/>
      <c r="E909" s="5"/>
      <c r="F909" s="3"/>
      <c r="G909" s="3"/>
      <c r="H909" s="3"/>
      <c r="I909" s="3"/>
      <c r="J909" s="5"/>
      <c r="K909" s="3"/>
      <c r="L909" s="3"/>
      <c r="M909" s="3"/>
      <c r="N909" s="3"/>
      <c r="O909" s="3"/>
      <c r="P909" s="3"/>
      <c r="Q909" s="3"/>
      <c r="R909" s="3"/>
      <c r="S909" s="3"/>
      <c r="T909" s="3"/>
      <c r="U909" s="3"/>
      <c r="V909" s="3"/>
      <c r="W909" s="3"/>
      <c r="X909" s="3"/>
      <c r="Y909" s="3"/>
      <c r="Z909" s="3"/>
    </row>
    <row r="910">
      <c r="A910" s="3"/>
      <c r="B910" s="1"/>
      <c r="C910" s="1"/>
      <c r="D910" s="3"/>
      <c r="E910" s="5"/>
      <c r="F910" s="3"/>
      <c r="G910" s="3"/>
      <c r="H910" s="3"/>
      <c r="I910" s="3"/>
      <c r="J910" s="5"/>
      <c r="K910" s="3"/>
      <c r="L910" s="3"/>
      <c r="M910" s="3"/>
      <c r="N910" s="3"/>
      <c r="O910" s="3"/>
      <c r="P910" s="3"/>
      <c r="Q910" s="3"/>
      <c r="R910" s="3"/>
      <c r="S910" s="3"/>
      <c r="T910" s="3"/>
      <c r="U910" s="3"/>
      <c r="V910" s="3"/>
      <c r="W910" s="3"/>
      <c r="X910" s="3"/>
      <c r="Y910" s="3"/>
      <c r="Z910" s="3"/>
    </row>
    <row r="911">
      <c r="A911" s="3"/>
      <c r="B911" s="1"/>
      <c r="C911" s="1"/>
      <c r="D911" s="3"/>
      <c r="E911" s="5"/>
      <c r="F911" s="3"/>
      <c r="G911" s="3"/>
      <c r="H911" s="3"/>
      <c r="I911" s="3"/>
      <c r="J911" s="5"/>
      <c r="K911" s="3"/>
      <c r="L911" s="3"/>
      <c r="M911" s="3"/>
      <c r="N911" s="3"/>
      <c r="O911" s="3"/>
      <c r="P911" s="3"/>
      <c r="Q911" s="3"/>
      <c r="R911" s="3"/>
      <c r="S911" s="3"/>
      <c r="T911" s="3"/>
      <c r="U911" s="3"/>
      <c r="V911" s="3"/>
      <c r="W911" s="3"/>
      <c r="X911" s="3"/>
      <c r="Y911" s="3"/>
      <c r="Z911" s="3"/>
    </row>
    <row r="912">
      <c r="A912" s="3"/>
      <c r="B912" s="1"/>
      <c r="C912" s="1"/>
      <c r="D912" s="3"/>
      <c r="E912" s="5"/>
      <c r="F912" s="3"/>
      <c r="G912" s="3"/>
      <c r="H912" s="3"/>
      <c r="I912" s="3"/>
      <c r="J912" s="5"/>
      <c r="K912" s="3"/>
      <c r="L912" s="3"/>
      <c r="M912" s="3"/>
      <c r="N912" s="3"/>
      <c r="O912" s="3"/>
      <c r="P912" s="3"/>
      <c r="Q912" s="3"/>
      <c r="R912" s="3"/>
      <c r="S912" s="3"/>
      <c r="T912" s="3"/>
      <c r="U912" s="3"/>
      <c r="V912" s="3"/>
      <c r="W912" s="3"/>
      <c r="X912" s="3"/>
      <c r="Y912" s="3"/>
      <c r="Z912" s="3"/>
    </row>
    <row r="913">
      <c r="A913" s="3"/>
      <c r="B913" s="1"/>
      <c r="C913" s="1"/>
      <c r="D913" s="3"/>
      <c r="E913" s="5"/>
      <c r="F913" s="3"/>
      <c r="G913" s="3"/>
      <c r="H913" s="3"/>
      <c r="I913" s="3"/>
      <c r="J913" s="5"/>
      <c r="K913" s="3"/>
      <c r="L913" s="3"/>
      <c r="M913" s="3"/>
      <c r="N913" s="3"/>
      <c r="O913" s="3"/>
      <c r="P913" s="3"/>
      <c r="Q913" s="3"/>
      <c r="R913" s="3"/>
      <c r="S913" s="3"/>
      <c r="T913" s="3"/>
      <c r="U913" s="3"/>
      <c r="V913" s="3"/>
      <c r="W913" s="3"/>
      <c r="X913" s="3"/>
      <c r="Y913" s="3"/>
      <c r="Z913" s="3"/>
    </row>
    <row r="914">
      <c r="A914" s="3"/>
      <c r="B914" s="1"/>
      <c r="C914" s="1"/>
      <c r="D914" s="3"/>
      <c r="E914" s="5"/>
      <c r="F914" s="3"/>
      <c r="G914" s="3"/>
      <c r="H914" s="3"/>
      <c r="I914" s="3"/>
      <c r="J914" s="5"/>
      <c r="K914" s="3"/>
      <c r="L914" s="3"/>
      <c r="M914" s="3"/>
      <c r="N914" s="3"/>
      <c r="O914" s="3"/>
      <c r="P914" s="3"/>
      <c r="Q914" s="3"/>
      <c r="R914" s="3"/>
      <c r="S914" s="3"/>
      <c r="T914" s="3"/>
      <c r="U914" s="3"/>
      <c r="V914" s="3"/>
      <c r="W914" s="3"/>
      <c r="X914" s="3"/>
      <c r="Y914" s="3"/>
      <c r="Z914" s="3"/>
    </row>
    <row r="915">
      <c r="A915" s="3"/>
      <c r="B915" s="1"/>
      <c r="C915" s="1"/>
      <c r="D915" s="3"/>
      <c r="E915" s="5"/>
      <c r="F915" s="3"/>
      <c r="G915" s="3"/>
      <c r="H915" s="3"/>
      <c r="I915" s="3"/>
      <c r="J915" s="5"/>
      <c r="K915" s="3"/>
      <c r="L915" s="3"/>
      <c r="M915" s="3"/>
      <c r="N915" s="3"/>
      <c r="O915" s="3"/>
      <c r="P915" s="3"/>
      <c r="Q915" s="3"/>
      <c r="R915" s="3"/>
      <c r="S915" s="3"/>
      <c r="T915" s="3"/>
      <c r="U915" s="3"/>
      <c r="V915" s="3"/>
      <c r="W915" s="3"/>
      <c r="X915" s="3"/>
      <c r="Y915" s="3"/>
      <c r="Z915" s="3"/>
    </row>
    <row r="916">
      <c r="A916" s="3"/>
      <c r="B916" s="1"/>
      <c r="C916" s="1"/>
      <c r="D916" s="3"/>
      <c r="E916" s="5"/>
      <c r="F916" s="3"/>
      <c r="G916" s="3"/>
      <c r="H916" s="3"/>
      <c r="I916" s="3"/>
      <c r="J916" s="5"/>
      <c r="K916" s="3"/>
      <c r="L916" s="3"/>
      <c r="M916" s="3"/>
      <c r="N916" s="3"/>
      <c r="O916" s="3"/>
      <c r="P916" s="3"/>
      <c r="Q916" s="3"/>
      <c r="R916" s="3"/>
      <c r="S916" s="3"/>
      <c r="T916" s="3"/>
      <c r="U916" s="3"/>
      <c r="V916" s="3"/>
      <c r="W916" s="3"/>
      <c r="X916" s="3"/>
      <c r="Y916" s="3"/>
      <c r="Z916" s="3"/>
    </row>
    <row r="917">
      <c r="A917" s="3"/>
      <c r="B917" s="1"/>
      <c r="C917" s="1"/>
      <c r="D917" s="3"/>
      <c r="E917" s="5"/>
      <c r="F917" s="3"/>
      <c r="G917" s="3"/>
      <c r="H917" s="3"/>
      <c r="I917" s="3"/>
      <c r="J917" s="5"/>
      <c r="K917" s="3"/>
      <c r="L917" s="3"/>
      <c r="M917" s="3"/>
      <c r="N917" s="3"/>
      <c r="O917" s="3"/>
      <c r="P917" s="3"/>
      <c r="Q917" s="3"/>
      <c r="R917" s="3"/>
      <c r="S917" s="3"/>
      <c r="T917" s="3"/>
      <c r="U917" s="3"/>
      <c r="V917" s="3"/>
      <c r="W917" s="3"/>
      <c r="X917" s="3"/>
      <c r="Y917" s="3"/>
      <c r="Z917" s="3"/>
    </row>
    <row r="918">
      <c r="A918" s="3"/>
      <c r="B918" s="1"/>
      <c r="C918" s="1"/>
      <c r="D918" s="3"/>
      <c r="E918" s="5"/>
      <c r="F918" s="3"/>
      <c r="G918" s="3"/>
      <c r="H918" s="3"/>
      <c r="I918" s="3"/>
      <c r="J918" s="5"/>
      <c r="K918" s="3"/>
      <c r="L918" s="3"/>
      <c r="M918" s="3"/>
      <c r="N918" s="3"/>
      <c r="O918" s="3"/>
      <c r="P918" s="3"/>
      <c r="Q918" s="3"/>
      <c r="R918" s="3"/>
      <c r="S918" s="3"/>
      <c r="T918" s="3"/>
      <c r="U918" s="3"/>
      <c r="V918" s="3"/>
      <c r="W918" s="3"/>
      <c r="X918" s="3"/>
      <c r="Y918" s="3"/>
      <c r="Z918" s="3"/>
    </row>
    <row r="919">
      <c r="A919" s="3"/>
      <c r="B919" s="1"/>
      <c r="C919" s="1"/>
      <c r="D919" s="3"/>
      <c r="E919" s="5"/>
      <c r="F919" s="3"/>
      <c r="G919" s="3"/>
      <c r="H919" s="3"/>
      <c r="I919" s="3"/>
      <c r="J919" s="5"/>
      <c r="K919" s="3"/>
      <c r="L919" s="3"/>
      <c r="M919" s="3"/>
      <c r="N919" s="3"/>
      <c r="O919" s="3"/>
      <c r="P919" s="3"/>
      <c r="Q919" s="3"/>
      <c r="R919" s="3"/>
      <c r="S919" s="3"/>
      <c r="T919" s="3"/>
      <c r="U919" s="3"/>
      <c r="V919" s="3"/>
      <c r="W919" s="3"/>
      <c r="X919" s="3"/>
      <c r="Y919" s="3"/>
      <c r="Z919" s="3"/>
    </row>
    <row r="920">
      <c r="A920" s="3"/>
      <c r="B920" s="1"/>
      <c r="C920" s="1"/>
      <c r="D920" s="3"/>
      <c r="E920" s="5"/>
      <c r="F920" s="3"/>
      <c r="G920" s="3"/>
      <c r="H920" s="3"/>
      <c r="I920" s="3"/>
      <c r="J920" s="5"/>
      <c r="K920" s="3"/>
      <c r="L920" s="3"/>
      <c r="M920" s="3"/>
      <c r="N920" s="3"/>
      <c r="O920" s="3"/>
      <c r="P920" s="3"/>
      <c r="Q920" s="3"/>
      <c r="R920" s="3"/>
      <c r="S920" s="3"/>
      <c r="T920" s="3"/>
      <c r="U920" s="3"/>
      <c r="V920" s="3"/>
      <c r="W920" s="3"/>
      <c r="X920" s="3"/>
      <c r="Y920" s="3"/>
      <c r="Z920" s="3"/>
    </row>
    <row r="921">
      <c r="A921" s="3"/>
      <c r="B921" s="1"/>
      <c r="C921" s="1"/>
      <c r="D921" s="3"/>
      <c r="E921" s="5"/>
      <c r="F921" s="3"/>
      <c r="G921" s="3"/>
      <c r="H921" s="3"/>
      <c r="I921" s="3"/>
      <c r="J921" s="5"/>
      <c r="K921" s="3"/>
      <c r="L921" s="3"/>
      <c r="M921" s="3"/>
      <c r="N921" s="3"/>
      <c r="O921" s="3"/>
      <c r="P921" s="3"/>
      <c r="Q921" s="3"/>
      <c r="R921" s="3"/>
      <c r="S921" s="3"/>
      <c r="T921" s="3"/>
      <c r="U921" s="3"/>
      <c r="V921" s="3"/>
      <c r="W921" s="3"/>
      <c r="X921" s="3"/>
      <c r="Y921" s="3"/>
      <c r="Z921" s="3"/>
    </row>
    <row r="922">
      <c r="A922" s="3"/>
      <c r="B922" s="1"/>
      <c r="C922" s="1"/>
      <c r="D922" s="3"/>
      <c r="E922" s="5"/>
      <c r="F922" s="3"/>
      <c r="G922" s="3"/>
      <c r="H922" s="3"/>
      <c r="I922" s="3"/>
      <c r="J922" s="5"/>
      <c r="K922" s="3"/>
      <c r="L922" s="3"/>
      <c r="M922" s="3"/>
      <c r="N922" s="3"/>
      <c r="O922" s="3"/>
      <c r="P922" s="3"/>
      <c r="Q922" s="3"/>
      <c r="R922" s="3"/>
      <c r="S922" s="3"/>
      <c r="T922" s="3"/>
      <c r="U922" s="3"/>
      <c r="V922" s="3"/>
      <c r="W922" s="3"/>
      <c r="X922" s="3"/>
      <c r="Y922" s="3"/>
      <c r="Z922" s="3"/>
    </row>
    <row r="923">
      <c r="A923" s="3"/>
      <c r="B923" s="1"/>
      <c r="C923" s="1"/>
      <c r="D923" s="3"/>
      <c r="E923" s="5"/>
      <c r="F923" s="3"/>
      <c r="G923" s="3"/>
      <c r="H923" s="3"/>
      <c r="I923" s="3"/>
      <c r="J923" s="5"/>
      <c r="K923" s="3"/>
      <c r="L923" s="3"/>
      <c r="M923" s="3"/>
      <c r="N923" s="3"/>
      <c r="O923" s="3"/>
      <c r="P923" s="3"/>
      <c r="Q923" s="3"/>
      <c r="R923" s="3"/>
      <c r="S923" s="3"/>
      <c r="T923" s="3"/>
      <c r="U923" s="3"/>
      <c r="V923" s="3"/>
      <c r="W923" s="3"/>
      <c r="X923" s="3"/>
      <c r="Y923" s="3"/>
      <c r="Z923" s="3"/>
    </row>
    <row r="924">
      <c r="A924" s="3"/>
      <c r="B924" s="1"/>
      <c r="C924" s="1"/>
      <c r="D924" s="3"/>
      <c r="E924" s="5"/>
      <c r="F924" s="3"/>
      <c r="G924" s="3"/>
      <c r="H924" s="3"/>
      <c r="I924" s="3"/>
      <c r="J924" s="5"/>
      <c r="K924" s="3"/>
      <c r="L924" s="3"/>
      <c r="M924" s="3"/>
      <c r="N924" s="3"/>
      <c r="O924" s="3"/>
      <c r="P924" s="3"/>
      <c r="Q924" s="3"/>
      <c r="R924" s="3"/>
      <c r="S924" s="3"/>
      <c r="T924" s="3"/>
      <c r="U924" s="3"/>
      <c r="V924" s="3"/>
      <c r="W924" s="3"/>
      <c r="X924" s="3"/>
      <c r="Y924" s="3"/>
      <c r="Z924" s="3"/>
    </row>
    <row r="925">
      <c r="A925" s="3"/>
      <c r="B925" s="1"/>
      <c r="C925" s="1"/>
      <c r="D925" s="3"/>
      <c r="E925" s="5"/>
      <c r="F925" s="3"/>
      <c r="G925" s="3"/>
      <c r="H925" s="3"/>
      <c r="I925" s="3"/>
      <c r="J925" s="5"/>
      <c r="K925" s="3"/>
      <c r="L925" s="3"/>
      <c r="M925" s="3"/>
      <c r="N925" s="3"/>
      <c r="O925" s="3"/>
      <c r="P925" s="3"/>
      <c r="Q925" s="3"/>
      <c r="R925" s="3"/>
      <c r="S925" s="3"/>
      <c r="T925" s="3"/>
      <c r="U925" s="3"/>
      <c r="V925" s="3"/>
      <c r="W925" s="3"/>
      <c r="X925" s="3"/>
      <c r="Y925" s="3"/>
      <c r="Z925" s="3"/>
    </row>
    <row r="926">
      <c r="A926" s="3"/>
      <c r="B926" s="1"/>
      <c r="C926" s="1"/>
      <c r="D926" s="3"/>
      <c r="E926" s="5"/>
      <c r="F926" s="3"/>
      <c r="G926" s="3"/>
      <c r="H926" s="3"/>
      <c r="I926" s="3"/>
      <c r="J926" s="5"/>
      <c r="K926" s="3"/>
      <c r="L926" s="3"/>
      <c r="M926" s="3"/>
      <c r="N926" s="3"/>
      <c r="O926" s="3"/>
      <c r="P926" s="3"/>
      <c r="Q926" s="3"/>
      <c r="R926" s="3"/>
      <c r="S926" s="3"/>
      <c r="T926" s="3"/>
      <c r="U926" s="3"/>
      <c r="V926" s="3"/>
      <c r="W926" s="3"/>
      <c r="X926" s="3"/>
      <c r="Y926" s="3"/>
      <c r="Z926" s="3"/>
    </row>
    <row r="927">
      <c r="A927" s="3"/>
      <c r="B927" s="1"/>
      <c r="C927" s="1"/>
      <c r="D927" s="3"/>
      <c r="E927" s="5"/>
      <c r="F927" s="3"/>
      <c r="G927" s="3"/>
      <c r="H927" s="3"/>
      <c r="I927" s="3"/>
      <c r="J927" s="5"/>
      <c r="K927" s="3"/>
      <c r="L927" s="3"/>
      <c r="M927" s="3"/>
      <c r="N927" s="3"/>
      <c r="O927" s="3"/>
      <c r="P927" s="3"/>
      <c r="Q927" s="3"/>
      <c r="R927" s="3"/>
      <c r="S927" s="3"/>
      <c r="T927" s="3"/>
      <c r="U927" s="3"/>
      <c r="V927" s="3"/>
      <c r="W927" s="3"/>
      <c r="X927" s="3"/>
      <c r="Y927" s="3"/>
      <c r="Z927" s="3"/>
    </row>
    <row r="928">
      <c r="A928" s="3"/>
      <c r="B928" s="1"/>
      <c r="C928" s="1"/>
      <c r="D928" s="3"/>
      <c r="E928" s="5"/>
      <c r="F928" s="3"/>
      <c r="G928" s="3"/>
      <c r="H928" s="3"/>
      <c r="I928" s="3"/>
      <c r="J928" s="5"/>
      <c r="K928" s="3"/>
      <c r="L928" s="3"/>
      <c r="M928" s="3"/>
      <c r="N928" s="3"/>
      <c r="O928" s="3"/>
      <c r="P928" s="3"/>
      <c r="Q928" s="3"/>
      <c r="R928" s="3"/>
      <c r="S928" s="3"/>
      <c r="T928" s="3"/>
      <c r="U928" s="3"/>
      <c r="V928" s="3"/>
      <c r="W928" s="3"/>
      <c r="X928" s="3"/>
      <c r="Y928" s="3"/>
      <c r="Z928" s="3"/>
    </row>
    <row r="929">
      <c r="A929" s="3"/>
      <c r="B929" s="1"/>
      <c r="C929" s="1"/>
      <c r="D929" s="3"/>
      <c r="E929" s="5"/>
      <c r="F929" s="3"/>
      <c r="G929" s="3"/>
      <c r="H929" s="3"/>
      <c r="I929" s="3"/>
      <c r="J929" s="5"/>
      <c r="K929" s="3"/>
      <c r="L929" s="3"/>
      <c r="M929" s="3"/>
      <c r="N929" s="3"/>
      <c r="O929" s="3"/>
      <c r="P929" s="3"/>
      <c r="Q929" s="3"/>
      <c r="R929" s="3"/>
      <c r="S929" s="3"/>
      <c r="T929" s="3"/>
      <c r="U929" s="3"/>
      <c r="V929" s="3"/>
      <c r="W929" s="3"/>
      <c r="X929" s="3"/>
      <c r="Y929" s="3"/>
      <c r="Z929" s="3"/>
    </row>
    <row r="930">
      <c r="A930" s="3"/>
      <c r="B930" s="1"/>
      <c r="C930" s="1"/>
      <c r="D930" s="3"/>
      <c r="E930" s="5"/>
      <c r="F930" s="3"/>
      <c r="G930" s="3"/>
      <c r="H930" s="3"/>
      <c r="I930" s="3"/>
      <c r="J930" s="5"/>
      <c r="K930" s="3"/>
      <c r="L930" s="3"/>
      <c r="M930" s="3"/>
      <c r="N930" s="3"/>
      <c r="O930" s="3"/>
      <c r="P930" s="3"/>
      <c r="Q930" s="3"/>
      <c r="R930" s="3"/>
      <c r="S930" s="3"/>
      <c r="T930" s="3"/>
      <c r="U930" s="3"/>
      <c r="V930" s="3"/>
      <c r="W930" s="3"/>
      <c r="X930" s="3"/>
      <c r="Y930" s="3"/>
      <c r="Z930" s="3"/>
    </row>
    <row r="931">
      <c r="A931" s="3"/>
      <c r="B931" s="1"/>
      <c r="C931" s="1"/>
      <c r="D931" s="3"/>
      <c r="E931" s="5"/>
      <c r="F931" s="3"/>
      <c r="G931" s="3"/>
      <c r="H931" s="3"/>
      <c r="I931" s="3"/>
      <c r="J931" s="5"/>
      <c r="K931" s="3"/>
      <c r="L931" s="3"/>
      <c r="M931" s="3"/>
      <c r="N931" s="3"/>
      <c r="O931" s="3"/>
      <c r="P931" s="3"/>
      <c r="Q931" s="3"/>
      <c r="R931" s="3"/>
      <c r="S931" s="3"/>
      <c r="T931" s="3"/>
      <c r="U931" s="3"/>
      <c r="V931" s="3"/>
      <c r="W931" s="3"/>
      <c r="X931" s="3"/>
      <c r="Y931" s="3"/>
      <c r="Z931" s="3"/>
    </row>
    <row r="932">
      <c r="A932" s="3"/>
      <c r="B932" s="1"/>
      <c r="C932" s="1"/>
      <c r="D932" s="3"/>
      <c r="E932" s="5"/>
      <c r="F932" s="3"/>
      <c r="G932" s="3"/>
      <c r="H932" s="3"/>
      <c r="I932" s="3"/>
      <c r="J932" s="5"/>
      <c r="K932" s="3"/>
      <c r="L932" s="3"/>
      <c r="M932" s="3"/>
      <c r="N932" s="3"/>
      <c r="O932" s="3"/>
      <c r="P932" s="3"/>
      <c r="Q932" s="3"/>
      <c r="R932" s="3"/>
      <c r="S932" s="3"/>
      <c r="T932" s="3"/>
      <c r="U932" s="3"/>
      <c r="V932" s="3"/>
      <c r="W932" s="3"/>
      <c r="X932" s="3"/>
      <c r="Y932" s="3"/>
      <c r="Z932" s="3"/>
    </row>
    <row r="933">
      <c r="A933" s="3"/>
      <c r="B933" s="1"/>
      <c r="C933" s="1"/>
      <c r="D933" s="3"/>
      <c r="E933" s="5"/>
      <c r="F933" s="3"/>
      <c r="G933" s="3"/>
      <c r="H933" s="3"/>
      <c r="I933" s="3"/>
      <c r="J933" s="5"/>
      <c r="K933" s="3"/>
      <c r="L933" s="3"/>
      <c r="M933" s="3"/>
      <c r="N933" s="3"/>
      <c r="O933" s="3"/>
      <c r="P933" s="3"/>
      <c r="Q933" s="3"/>
      <c r="R933" s="3"/>
      <c r="S933" s="3"/>
      <c r="T933" s="3"/>
      <c r="U933" s="3"/>
      <c r="V933" s="3"/>
      <c r="W933" s="3"/>
      <c r="X933" s="3"/>
      <c r="Y933" s="3"/>
      <c r="Z933" s="3"/>
    </row>
    <row r="934">
      <c r="A934" s="3"/>
      <c r="B934" s="1"/>
      <c r="C934" s="1"/>
      <c r="D934" s="3"/>
      <c r="E934" s="5"/>
      <c r="F934" s="3"/>
      <c r="G934" s="3"/>
      <c r="H934" s="3"/>
      <c r="I934" s="3"/>
      <c r="J934" s="5"/>
      <c r="K934" s="3"/>
      <c r="L934" s="3"/>
      <c r="M934" s="3"/>
      <c r="N934" s="3"/>
      <c r="O934" s="3"/>
      <c r="P934" s="3"/>
      <c r="Q934" s="3"/>
      <c r="R934" s="3"/>
      <c r="S934" s="3"/>
      <c r="T934" s="3"/>
      <c r="U934" s="3"/>
      <c r="V934" s="3"/>
      <c r="W934" s="3"/>
      <c r="X934" s="3"/>
      <c r="Y934" s="3"/>
      <c r="Z934" s="3"/>
    </row>
    <row r="935">
      <c r="A935" s="3"/>
      <c r="B935" s="1"/>
      <c r="C935" s="1"/>
      <c r="D935" s="3"/>
      <c r="E935" s="5"/>
      <c r="F935" s="3"/>
      <c r="G935" s="3"/>
      <c r="H935" s="3"/>
      <c r="I935" s="3"/>
      <c r="J935" s="5"/>
      <c r="K935" s="3"/>
      <c r="L935" s="3"/>
      <c r="M935" s="3"/>
      <c r="N935" s="3"/>
      <c r="O935" s="3"/>
      <c r="P935" s="3"/>
      <c r="Q935" s="3"/>
      <c r="R935" s="3"/>
      <c r="S935" s="3"/>
      <c r="T935" s="3"/>
      <c r="U935" s="3"/>
      <c r="V935" s="3"/>
      <c r="W935" s="3"/>
      <c r="X935" s="3"/>
      <c r="Y935" s="3"/>
      <c r="Z935" s="3"/>
    </row>
    <row r="936">
      <c r="A936" s="3"/>
      <c r="B936" s="1"/>
      <c r="C936" s="1"/>
      <c r="D936" s="3"/>
      <c r="E936" s="5"/>
      <c r="F936" s="3"/>
      <c r="G936" s="3"/>
      <c r="H936" s="3"/>
      <c r="I936" s="3"/>
      <c r="J936" s="5"/>
      <c r="K936" s="3"/>
      <c r="L936" s="3"/>
      <c r="M936" s="3"/>
      <c r="N936" s="3"/>
      <c r="O936" s="3"/>
      <c r="P936" s="3"/>
      <c r="Q936" s="3"/>
      <c r="R936" s="3"/>
      <c r="S936" s="3"/>
      <c r="T936" s="3"/>
      <c r="U936" s="3"/>
      <c r="V936" s="3"/>
      <c r="W936" s="3"/>
      <c r="X936" s="3"/>
      <c r="Y936" s="3"/>
      <c r="Z936" s="3"/>
    </row>
    <row r="937">
      <c r="A937" s="3"/>
      <c r="B937" s="1"/>
      <c r="C937" s="1"/>
      <c r="D937" s="3"/>
      <c r="E937" s="5"/>
      <c r="F937" s="3"/>
      <c r="G937" s="3"/>
      <c r="H937" s="3"/>
      <c r="I937" s="3"/>
      <c r="J937" s="5"/>
      <c r="K937" s="3"/>
      <c r="L937" s="3"/>
      <c r="M937" s="3"/>
      <c r="N937" s="3"/>
      <c r="O937" s="3"/>
      <c r="P937" s="3"/>
      <c r="Q937" s="3"/>
      <c r="R937" s="3"/>
      <c r="S937" s="3"/>
      <c r="T937" s="3"/>
      <c r="U937" s="3"/>
      <c r="V937" s="3"/>
      <c r="W937" s="3"/>
      <c r="X937" s="3"/>
      <c r="Y937" s="3"/>
      <c r="Z937" s="3"/>
    </row>
    <row r="938">
      <c r="A938" s="3"/>
      <c r="B938" s="1"/>
      <c r="C938" s="1"/>
      <c r="D938" s="3"/>
      <c r="E938" s="5"/>
      <c r="F938" s="3"/>
      <c r="G938" s="3"/>
      <c r="H938" s="3"/>
      <c r="I938" s="3"/>
      <c r="J938" s="5"/>
      <c r="K938" s="3"/>
      <c r="L938" s="3"/>
      <c r="M938" s="3"/>
      <c r="N938" s="3"/>
      <c r="O938" s="3"/>
      <c r="P938" s="3"/>
      <c r="Q938" s="3"/>
      <c r="R938" s="3"/>
      <c r="S938" s="3"/>
      <c r="T938" s="3"/>
      <c r="U938" s="3"/>
      <c r="V938" s="3"/>
      <c r="W938" s="3"/>
      <c r="X938" s="3"/>
      <c r="Y938" s="3"/>
      <c r="Z938" s="3"/>
    </row>
    <row r="939">
      <c r="A939" s="3"/>
      <c r="B939" s="1"/>
      <c r="C939" s="1"/>
      <c r="D939" s="3"/>
      <c r="E939" s="5"/>
      <c r="F939" s="3"/>
      <c r="G939" s="3"/>
      <c r="H939" s="3"/>
      <c r="I939" s="3"/>
      <c r="J939" s="5"/>
      <c r="K939" s="3"/>
      <c r="L939" s="3"/>
      <c r="M939" s="3"/>
      <c r="N939" s="3"/>
      <c r="O939" s="3"/>
      <c r="P939" s="3"/>
      <c r="Q939" s="3"/>
      <c r="R939" s="3"/>
      <c r="S939" s="3"/>
      <c r="T939" s="3"/>
      <c r="U939" s="3"/>
      <c r="V939" s="3"/>
      <c r="W939" s="3"/>
      <c r="X939" s="3"/>
      <c r="Y939" s="3"/>
      <c r="Z939" s="3"/>
    </row>
    <row r="940">
      <c r="A940" s="3"/>
      <c r="B940" s="1"/>
      <c r="C940" s="1"/>
      <c r="D940" s="3"/>
      <c r="E940" s="5"/>
      <c r="F940" s="3"/>
      <c r="G940" s="3"/>
      <c r="H940" s="3"/>
      <c r="I940" s="3"/>
      <c r="J940" s="5"/>
      <c r="K940" s="3"/>
      <c r="L940" s="3"/>
      <c r="M940" s="3"/>
      <c r="N940" s="3"/>
      <c r="O940" s="3"/>
      <c r="P940" s="3"/>
      <c r="Q940" s="3"/>
      <c r="R940" s="3"/>
      <c r="S940" s="3"/>
      <c r="T940" s="3"/>
      <c r="U940" s="3"/>
      <c r="V940" s="3"/>
      <c r="W940" s="3"/>
      <c r="X940" s="3"/>
      <c r="Y940" s="3"/>
      <c r="Z940" s="3"/>
    </row>
    <row r="941">
      <c r="A941" s="3"/>
      <c r="B941" s="1"/>
      <c r="C941" s="1"/>
      <c r="D941" s="3"/>
      <c r="E941" s="5"/>
      <c r="F941" s="3"/>
      <c r="G941" s="3"/>
      <c r="H941" s="3"/>
      <c r="I941" s="3"/>
      <c r="J941" s="5"/>
      <c r="K941" s="3"/>
      <c r="L941" s="3"/>
      <c r="M941" s="3"/>
      <c r="N941" s="3"/>
      <c r="O941" s="3"/>
      <c r="P941" s="3"/>
      <c r="Q941" s="3"/>
      <c r="R941" s="3"/>
      <c r="S941" s="3"/>
      <c r="T941" s="3"/>
      <c r="U941" s="3"/>
      <c r="V941" s="3"/>
      <c r="W941" s="3"/>
      <c r="X941" s="3"/>
      <c r="Y941" s="3"/>
      <c r="Z941" s="3"/>
    </row>
    <row r="942">
      <c r="A942" s="3"/>
      <c r="B942" s="1"/>
      <c r="C942" s="1"/>
      <c r="D942" s="3"/>
      <c r="E942" s="5"/>
      <c r="F942" s="3"/>
      <c r="G942" s="3"/>
      <c r="H942" s="3"/>
      <c r="I942" s="3"/>
      <c r="J942" s="5"/>
      <c r="K942" s="3"/>
      <c r="L942" s="3"/>
      <c r="M942" s="3"/>
      <c r="N942" s="3"/>
      <c r="O942" s="3"/>
      <c r="P942" s="3"/>
      <c r="Q942" s="3"/>
      <c r="R942" s="3"/>
      <c r="S942" s="3"/>
      <c r="T942" s="3"/>
      <c r="U942" s="3"/>
      <c r="V942" s="3"/>
      <c r="W942" s="3"/>
      <c r="X942" s="3"/>
      <c r="Y942" s="3"/>
      <c r="Z942" s="3"/>
    </row>
    <row r="943">
      <c r="A943" s="3"/>
      <c r="B943" s="1"/>
      <c r="C943" s="1"/>
      <c r="D943" s="3"/>
      <c r="E943" s="5"/>
      <c r="F943" s="3"/>
      <c r="G943" s="3"/>
      <c r="H943" s="3"/>
      <c r="I943" s="3"/>
      <c r="J943" s="5"/>
      <c r="K943" s="3"/>
      <c r="L943" s="3"/>
      <c r="M943" s="3"/>
      <c r="N943" s="3"/>
      <c r="O943" s="3"/>
      <c r="P943" s="3"/>
      <c r="Q943" s="3"/>
      <c r="R943" s="3"/>
      <c r="S943" s="3"/>
      <c r="T943" s="3"/>
      <c r="U943" s="3"/>
      <c r="V943" s="3"/>
      <c r="W943" s="3"/>
      <c r="X943" s="3"/>
      <c r="Y943" s="3"/>
      <c r="Z943" s="3"/>
    </row>
    <row r="944">
      <c r="A944" s="3"/>
      <c r="B944" s="1"/>
      <c r="C944" s="1"/>
      <c r="D944" s="3"/>
      <c r="E944" s="5"/>
      <c r="F944" s="3"/>
      <c r="G944" s="3"/>
      <c r="H944" s="3"/>
      <c r="I944" s="3"/>
      <c r="J944" s="5"/>
      <c r="K944" s="3"/>
      <c r="L944" s="3"/>
      <c r="M944" s="3"/>
      <c r="N944" s="3"/>
      <c r="O944" s="3"/>
      <c r="P944" s="3"/>
      <c r="Q944" s="3"/>
      <c r="R944" s="3"/>
      <c r="S944" s="3"/>
      <c r="T944" s="3"/>
      <c r="U944" s="3"/>
      <c r="V944" s="3"/>
      <c r="W944" s="3"/>
      <c r="X944" s="3"/>
      <c r="Y944" s="3"/>
      <c r="Z944" s="3"/>
    </row>
    <row r="945">
      <c r="A945" s="3"/>
      <c r="B945" s="1"/>
      <c r="C945" s="1"/>
      <c r="D945" s="3"/>
      <c r="E945" s="5"/>
      <c r="F945" s="3"/>
      <c r="G945" s="3"/>
      <c r="H945" s="3"/>
      <c r="I945" s="3"/>
      <c r="J945" s="5"/>
      <c r="K945" s="3"/>
      <c r="L945" s="3"/>
      <c r="M945" s="3"/>
      <c r="N945" s="3"/>
      <c r="O945" s="3"/>
      <c r="P945" s="3"/>
      <c r="Q945" s="3"/>
      <c r="R945" s="3"/>
      <c r="S945" s="3"/>
      <c r="T945" s="3"/>
      <c r="U945" s="3"/>
      <c r="V945" s="3"/>
      <c r="W945" s="3"/>
      <c r="X945" s="3"/>
      <c r="Y945" s="3"/>
      <c r="Z945" s="3"/>
    </row>
    <row r="946">
      <c r="A946" s="3"/>
      <c r="B946" s="1"/>
      <c r="C946" s="1"/>
      <c r="D946" s="3"/>
      <c r="E946" s="5"/>
      <c r="F946" s="3"/>
      <c r="G946" s="3"/>
      <c r="H946" s="3"/>
      <c r="I946" s="3"/>
      <c r="J946" s="5"/>
      <c r="K946" s="3"/>
      <c r="L946" s="3"/>
      <c r="M946" s="3"/>
      <c r="N946" s="3"/>
      <c r="O946" s="3"/>
      <c r="P946" s="3"/>
      <c r="Q946" s="3"/>
      <c r="R946" s="3"/>
      <c r="S946" s="3"/>
      <c r="T946" s="3"/>
      <c r="U946" s="3"/>
      <c r="V946" s="3"/>
      <c r="W946" s="3"/>
      <c r="X946" s="3"/>
      <c r="Y946" s="3"/>
      <c r="Z946" s="3"/>
    </row>
    <row r="947">
      <c r="A947" s="3"/>
      <c r="B947" s="1"/>
      <c r="C947" s="1"/>
      <c r="D947" s="3"/>
      <c r="E947" s="5"/>
      <c r="F947" s="3"/>
      <c r="G947" s="3"/>
      <c r="H947" s="3"/>
      <c r="I947" s="3"/>
      <c r="J947" s="5"/>
      <c r="K947" s="3"/>
      <c r="L947" s="3"/>
      <c r="M947" s="3"/>
      <c r="N947" s="3"/>
      <c r="O947" s="3"/>
      <c r="P947" s="3"/>
      <c r="Q947" s="3"/>
      <c r="R947" s="3"/>
      <c r="S947" s="3"/>
      <c r="T947" s="3"/>
      <c r="U947" s="3"/>
      <c r="V947" s="3"/>
      <c r="W947" s="3"/>
      <c r="X947" s="3"/>
      <c r="Y947" s="3"/>
      <c r="Z947" s="3"/>
    </row>
    <row r="948">
      <c r="A948" s="3"/>
      <c r="B948" s="1"/>
      <c r="C948" s="1"/>
      <c r="D948" s="3"/>
      <c r="E948" s="5"/>
      <c r="F948" s="3"/>
      <c r="G948" s="3"/>
      <c r="H948" s="3"/>
      <c r="I948" s="3"/>
      <c r="J948" s="5"/>
      <c r="K948" s="3"/>
      <c r="L948" s="3"/>
      <c r="M948" s="3"/>
      <c r="N948" s="3"/>
      <c r="O948" s="3"/>
      <c r="P948" s="3"/>
      <c r="Q948" s="3"/>
      <c r="R948" s="3"/>
      <c r="S948" s="3"/>
      <c r="T948" s="3"/>
      <c r="U948" s="3"/>
      <c r="V948" s="3"/>
      <c r="W948" s="3"/>
      <c r="X948" s="3"/>
      <c r="Y948" s="3"/>
      <c r="Z948" s="3"/>
    </row>
    <row r="949">
      <c r="A949" s="3"/>
      <c r="B949" s="1"/>
      <c r="C949" s="1"/>
      <c r="D949" s="3"/>
      <c r="E949" s="5"/>
      <c r="F949" s="3"/>
      <c r="G949" s="3"/>
      <c r="H949" s="3"/>
      <c r="I949" s="3"/>
      <c r="J949" s="5"/>
      <c r="K949" s="3"/>
      <c r="L949" s="3"/>
      <c r="M949" s="3"/>
      <c r="N949" s="3"/>
      <c r="O949" s="3"/>
      <c r="P949" s="3"/>
      <c r="Q949" s="3"/>
      <c r="R949" s="3"/>
      <c r="S949" s="3"/>
      <c r="T949" s="3"/>
      <c r="U949" s="3"/>
      <c r="V949" s="3"/>
      <c r="W949" s="3"/>
      <c r="X949" s="3"/>
      <c r="Y949" s="3"/>
      <c r="Z949" s="3"/>
    </row>
    <row r="950">
      <c r="A950" s="3"/>
      <c r="B950" s="1"/>
      <c r="C950" s="1"/>
      <c r="D950" s="3"/>
      <c r="E950" s="5"/>
      <c r="F950" s="3"/>
      <c r="G950" s="3"/>
      <c r="H950" s="3"/>
      <c r="I950" s="3"/>
      <c r="J950" s="5"/>
      <c r="K950" s="3"/>
      <c r="L950" s="3"/>
      <c r="M950" s="3"/>
      <c r="N950" s="3"/>
      <c r="O950" s="3"/>
      <c r="P950" s="3"/>
      <c r="Q950" s="3"/>
      <c r="R950" s="3"/>
      <c r="S950" s="3"/>
      <c r="T950" s="3"/>
      <c r="U950" s="3"/>
      <c r="V950" s="3"/>
      <c r="W950" s="3"/>
      <c r="X950" s="3"/>
      <c r="Y950" s="3"/>
      <c r="Z950" s="3"/>
    </row>
    <row r="951">
      <c r="A951" s="3"/>
      <c r="B951" s="1"/>
      <c r="C951" s="1"/>
      <c r="D951" s="3"/>
      <c r="E951" s="5"/>
      <c r="F951" s="3"/>
      <c r="G951" s="3"/>
      <c r="H951" s="3"/>
      <c r="I951" s="3"/>
      <c r="J951" s="5"/>
      <c r="K951" s="3"/>
      <c r="L951" s="3"/>
      <c r="M951" s="3"/>
      <c r="N951" s="3"/>
      <c r="O951" s="3"/>
      <c r="P951" s="3"/>
      <c r="Q951" s="3"/>
      <c r="R951" s="3"/>
      <c r="S951" s="3"/>
      <c r="T951" s="3"/>
      <c r="U951" s="3"/>
      <c r="V951" s="3"/>
      <c r="W951" s="3"/>
      <c r="X951" s="3"/>
      <c r="Y951" s="3"/>
      <c r="Z951" s="3"/>
    </row>
    <row r="952">
      <c r="A952" s="3"/>
      <c r="B952" s="1"/>
      <c r="C952" s="1"/>
      <c r="D952" s="3"/>
      <c r="E952" s="5"/>
      <c r="F952" s="3"/>
      <c r="G952" s="3"/>
      <c r="H952" s="3"/>
      <c r="I952" s="3"/>
      <c r="J952" s="5"/>
      <c r="K952" s="3"/>
      <c r="L952" s="3"/>
      <c r="M952" s="3"/>
      <c r="N952" s="3"/>
      <c r="O952" s="3"/>
      <c r="P952" s="3"/>
      <c r="Q952" s="3"/>
      <c r="R952" s="3"/>
      <c r="S952" s="3"/>
      <c r="T952" s="3"/>
      <c r="U952" s="3"/>
      <c r="V952" s="3"/>
      <c r="W952" s="3"/>
      <c r="X952" s="3"/>
      <c r="Y952" s="3"/>
      <c r="Z952" s="3"/>
    </row>
    <row r="953">
      <c r="A953" s="3"/>
      <c r="B953" s="1"/>
      <c r="C953" s="1"/>
      <c r="D953" s="3"/>
      <c r="E953" s="5"/>
      <c r="F953" s="3"/>
      <c r="G953" s="3"/>
      <c r="H953" s="3"/>
      <c r="I953" s="3"/>
      <c r="J953" s="5"/>
      <c r="K953" s="3"/>
      <c r="L953" s="3"/>
      <c r="M953" s="3"/>
      <c r="N953" s="3"/>
      <c r="O953" s="3"/>
      <c r="P953" s="3"/>
      <c r="Q953" s="3"/>
      <c r="R953" s="3"/>
      <c r="S953" s="3"/>
      <c r="T953" s="3"/>
      <c r="U953" s="3"/>
      <c r="V953" s="3"/>
      <c r="W953" s="3"/>
      <c r="X953" s="3"/>
      <c r="Y953" s="3"/>
      <c r="Z953" s="3"/>
    </row>
    <row r="954">
      <c r="A954" s="3"/>
      <c r="B954" s="1"/>
      <c r="C954" s="1"/>
      <c r="D954" s="3"/>
      <c r="E954" s="5"/>
      <c r="F954" s="3"/>
      <c r="G954" s="3"/>
      <c r="H954" s="3"/>
      <c r="I954" s="3"/>
      <c r="J954" s="5"/>
      <c r="K954" s="3"/>
      <c r="L954" s="3"/>
      <c r="M954" s="3"/>
      <c r="N954" s="3"/>
      <c r="O954" s="3"/>
      <c r="P954" s="3"/>
      <c r="Q954" s="3"/>
      <c r="R954" s="3"/>
      <c r="S954" s="3"/>
      <c r="T954" s="3"/>
      <c r="U954" s="3"/>
      <c r="V954" s="3"/>
      <c r="W954" s="3"/>
      <c r="X954" s="3"/>
      <c r="Y954" s="3"/>
      <c r="Z954" s="3"/>
    </row>
    <row r="955">
      <c r="A955" s="3"/>
      <c r="B955" s="1"/>
      <c r="C955" s="1"/>
      <c r="D955" s="3"/>
      <c r="E955" s="5"/>
      <c r="F955" s="3"/>
      <c r="G955" s="3"/>
      <c r="H955" s="3"/>
      <c r="I955" s="3"/>
      <c r="J955" s="5"/>
      <c r="K955" s="3"/>
      <c r="L955" s="3"/>
      <c r="M955" s="3"/>
      <c r="N955" s="3"/>
      <c r="O955" s="3"/>
      <c r="P955" s="3"/>
      <c r="Q955" s="3"/>
      <c r="R955" s="3"/>
      <c r="S955" s="3"/>
      <c r="T955" s="3"/>
      <c r="U955" s="3"/>
      <c r="V955" s="3"/>
      <c r="W955" s="3"/>
      <c r="X955" s="3"/>
      <c r="Y955" s="3"/>
      <c r="Z955" s="3"/>
    </row>
    <row r="956">
      <c r="A956" s="3"/>
      <c r="B956" s="1"/>
      <c r="C956" s="1"/>
      <c r="D956" s="3"/>
      <c r="E956" s="5"/>
      <c r="F956" s="3"/>
      <c r="G956" s="3"/>
      <c r="H956" s="3"/>
      <c r="I956" s="3"/>
      <c r="J956" s="5"/>
      <c r="K956" s="3"/>
      <c r="L956" s="3"/>
      <c r="M956" s="3"/>
      <c r="N956" s="3"/>
      <c r="O956" s="3"/>
      <c r="P956" s="3"/>
      <c r="Q956" s="3"/>
      <c r="R956" s="3"/>
      <c r="S956" s="3"/>
      <c r="T956" s="3"/>
      <c r="U956" s="3"/>
      <c r="V956" s="3"/>
      <c r="W956" s="3"/>
      <c r="X956" s="3"/>
      <c r="Y956" s="3"/>
      <c r="Z956" s="3"/>
    </row>
    <row r="957">
      <c r="A957" s="3"/>
      <c r="B957" s="1"/>
      <c r="C957" s="1"/>
      <c r="D957" s="3"/>
      <c r="E957" s="5"/>
      <c r="F957" s="3"/>
      <c r="G957" s="3"/>
      <c r="H957" s="3"/>
      <c r="I957" s="3"/>
      <c r="J957" s="5"/>
      <c r="K957" s="3"/>
      <c r="L957" s="3"/>
      <c r="M957" s="3"/>
      <c r="N957" s="3"/>
      <c r="O957" s="3"/>
      <c r="P957" s="3"/>
      <c r="Q957" s="3"/>
      <c r="R957" s="3"/>
      <c r="S957" s="3"/>
      <c r="T957" s="3"/>
      <c r="U957" s="3"/>
      <c r="V957" s="3"/>
      <c r="W957" s="3"/>
      <c r="X957" s="3"/>
      <c r="Y957" s="3"/>
      <c r="Z957" s="3"/>
    </row>
    <row r="958">
      <c r="A958" s="3"/>
      <c r="B958" s="1"/>
      <c r="C958" s="1"/>
      <c r="D958" s="3"/>
      <c r="E958" s="5"/>
      <c r="F958" s="3"/>
      <c r="G958" s="3"/>
      <c r="H958" s="3"/>
      <c r="I958" s="3"/>
      <c r="J958" s="5"/>
      <c r="K958" s="3"/>
      <c r="L958" s="3"/>
      <c r="M958" s="3"/>
      <c r="N958" s="3"/>
      <c r="O958" s="3"/>
      <c r="P958" s="3"/>
      <c r="Q958" s="3"/>
      <c r="R958" s="3"/>
      <c r="S958" s="3"/>
      <c r="T958" s="3"/>
      <c r="U958" s="3"/>
      <c r="V958" s="3"/>
      <c r="W958" s="3"/>
      <c r="X958" s="3"/>
      <c r="Y958" s="3"/>
      <c r="Z958" s="3"/>
    </row>
    <row r="959">
      <c r="A959" s="3"/>
      <c r="B959" s="1"/>
      <c r="C959" s="1"/>
      <c r="D959" s="3"/>
      <c r="E959" s="5"/>
      <c r="F959" s="3"/>
      <c r="G959" s="3"/>
      <c r="H959" s="3"/>
      <c r="I959" s="3"/>
      <c r="J959" s="5"/>
      <c r="K959" s="3"/>
      <c r="L959" s="3"/>
      <c r="M959" s="3"/>
      <c r="N959" s="3"/>
      <c r="O959" s="3"/>
      <c r="P959" s="3"/>
      <c r="Q959" s="3"/>
      <c r="R959" s="3"/>
      <c r="S959" s="3"/>
      <c r="T959" s="3"/>
      <c r="U959" s="3"/>
      <c r="V959" s="3"/>
      <c r="W959" s="3"/>
      <c r="X959" s="3"/>
      <c r="Y959" s="3"/>
      <c r="Z959" s="3"/>
    </row>
    <row r="960">
      <c r="A960" s="3"/>
      <c r="B960" s="1"/>
      <c r="C960" s="1"/>
      <c r="D960" s="3"/>
      <c r="E960" s="5"/>
      <c r="F960" s="3"/>
      <c r="G960" s="3"/>
      <c r="H960" s="3"/>
      <c r="I960" s="3"/>
      <c r="J960" s="5"/>
      <c r="K960" s="3"/>
      <c r="L960" s="3"/>
      <c r="M960" s="3"/>
      <c r="N960" s="3"/>
      <c r="O960" s="3"/>
      <c r="P960" s="3"/>
      <c r="Q960" s="3"/>
      <c r="R960" s="3"/>
      <c r="S960" s="3"/>
      <c r="T960" s="3"/>
      <c r="U960" s="3"/>
      <c r="V960" s="3"/>
      <c r="W960" s="3"/>
      <c r="X960" s="3"/>
      <c r="Y960" s="3"/>
      <c r="Z960" s="3"/>
    </row>
    <row r="961">
      <c r="A961" s="3"/>
      <c r="B961" s="1"/>
      <c r="C961" s="1"/>
      <c r="D961" s="3"/>
      <c r="E961" s="5"/>
      <c r="F961" s="3"/>
      <c r="G961" s="3"/>
      <c r="H961" s="3"/>
      <c r="I961" s="3"/>
      <c r="J961" s="5"/>
      <c r="K961" s="3"/>
      <c r="L961" s="3"/>
      <c r="M961" s="3"/>
      <c r="N961" s="3"/>
      <c r="O961" s="3"/>
      <c r="P961" s="3"/>
      <c r="Q961" s="3"/>
      <c r="R961" s="3"/>
      <c r="S961" s="3"/>
      <c r="T961" s="3"/>
      <c r="U961" s="3"/>
      <c r="V961" s="3"/>
      <c r="W961" s="3"/>
      <c r="X961" s="3"/>
      <c r="Y961" s="3"/>
      <c r="Z961" s="3"/>
    </row>
    <row r="962">
      <c r="A962" s="3"/>
      <c r="B962" s="1"/>
      <c r="C962" s="1"/>
      <c r="D962" s="3"/>
      <c r="E962" s="5"/>
      <c r="F962" s="3"/>
      <c r="G962" s="3"/>
      <c r="H962" s="3"/>
      <c r="I962" s="3"/>
      <c r="J962" s="5"/>
      <c r="K962" s="3"/>
      <c r="L962" s="3"/>
      <c r="M962" s="3"/>
      <c r="N962" s="3"/>
      <c r="O962" s="3"/>
      <c r="P962" s="3"/>
      <c r="Q962" s="3"/>
      <c r="R962" s="3"/>
      <c r="S962" s="3"/>
      <c r="T962" s="3"/>
      <c r="U962" s="3"/>
      <c r="V962" s="3"/>
      <c r="W962" s="3"/>
      <c r="X962" s="3"/>
      <c r="Y962" s="3"/>
      <c r="Z962" s="3"/>
    </row>
    <row r="963">
      <c r="A963" s="3"/>
      <c r="B963" s="1"/>
      <c r="C963" s="1"/>
      <c r="D963" s="3"/>
      <c r="E963" s="5"/>
      <c r="F963" s="3"/>
      <c r="G963" s="3"/>
      <c r="H963" s="3"/>
      <c r="I963" s="3"/>
      <c r="J963" s="5"/>
      <c r="K963" s="3"/>
      <c r="L963" s="3"/>
      <c r="M963" s="3"/>
      <c r="N963" s="3"/>
      <c r="O963" s="3"/>
      <c r="P963" s="3"/>
      <c r="Q963" s="3"/>
      <c r="R963" s="3"/>
      <c r="S963" s="3"/>
      <c r="T963" s="3"/>
      <c r="U963" s="3"/>
      <c r="V963" s="3"/>
      <c r="W963" s="3"/>
      <c r="X963" s="3"/>
      <c r="Y963" s="3"/>
      <c r="Z963" s="3"/>
    </row>
    <row r="964">
      <c r="A964" s="3"/>
      <c r="B964" s="1"/>
      <c r="C964" s="1"/>
      <c r="D964" s="3"/>
      <c r="E964" s="5"/>
      <c r="F964" s="3"/>
      <c r="G964" s="3"/>
      <c r="H964" s="3"/>
      <c r="I964" s="3"/>
      <c r="J964" s="5"/>
      <c r="K964" s="3"/>
      <c r="L964" s="3"/>
      <c r="M964" s="3"/>
      <c r="N964" s="3"/>
      <c r="O964" s="3"/>
      <c r="P964" s="3"/>
      <c r="Q964" s="3"/>
      <c r="R964" s="3"/>
      <c r="S964" s="3"/>
      <c r="T964" s="3"/>
      <c r="U964" s="3"/>
      <c r="V964" s="3"/>
      <c r="W964" s="3"/>
      <c r="X964" s="3"/>
      <c r="Y964" s="3"/>
      <c r="Z964" s="3"/>
    </row>
    <row r="965">
      <c r="A965" s="3"/>
      <c r="B965" s="1"/>
      <c r="C965" s="1"/>
      <c r="D965" s="3"/>
      <c r="E965" s="5"/>
      <c r="F965" s="3"/>
      <c r="G965" s="3"/>
      <c r="H965" s="3"/>
      <c r="I965" s="3"/>
      <c r="J965" s="5"/>
      <c r="K965" s="3"/>
      <c r="L965" s="3"/>
      <c r="M965" s="3"/>
      <c r="N965" s="3"/>
      <c r="O965" s="3"/>
      <c r="P965" s="3"/>
      <c r="Q965" s="3"/>
      <c r="R965" s="3"/>
      <c r="S965" s="3"/>
      <c r="T965" s="3"/>
      <c r="U965" s="3"/>
      <c r="V965" s="3"/>
      <c r="W965" s="3"/>
      <c r="X965" s="3"/>
      <c r="Y965" s="3"/>
      <c r="Z965" s="3"/>
    </row>
    <row r="966">
      <c r="A966" s="3"/>
      <c r="B966" s="1"/>
      <c r="C966" s="1"/>
      <c r="D966" s="3"/>
      <c r="E966" s="5"/>
      <c r="F966" s="3"/>
      <c r="G966" s="3"/>
      <c r="H966" s="3"/>
      <c r="I966" s="3"/>
      <c r="J966" s="5"/>
      <c r="K966" s="3"/>
      <c r="L966" s="3"/>
      <c r="M966" s="3"/>
      <c r="N966" s="3"/>
      <c r="O966" s="3"/>
      <c r="P966" s="3"/>
      <c r="Q966" s="3"/>
      <c r="R966" s="3"/>
      <c r="S966" s="3"/>
      <c r="T966" s="3"/>
      <c r="U966" s="3"/>
      <c r="V966" s="3"/>
      <c r="W966" s="3"/>
      <c r="X966" s="3"/>
      <c r="Y966" s="3"/>
      <c r="Z966" s="3"/>
    </row>
    <row r="967">
      <c r="A967" s="3"/>
      <c r="B967" s="1"/>
      <c r="C967" s="1"/>
      <c r="D967" s="3"/>
      <c r="E967" s="5"/>
      <c r="F967" s="3"/>
      <c r="G967" s="3"/>
      <c r="H967" s="3"/>
      <c r="I967" s="3"/>
      <c r="J967" s="5"/>
      <c r="K967" s="3"/>
      <c r="L967" s="3"/>
      <c r="M967" s="3"/>
      <c r="N967" s="3"/>
      <c r="O967" s="3"/>
      <c r="P967" s="3"/>
      <c r="Q967" s="3"/>
      <c r="R967" s="3"/>
      <c r="S967" s="3"/>
      <c r="T967" s="3"/>
      <c r="U967" s="3"/>
      <c r="V967" s="3"/>
      <c r="W967" s="3"/>
      <c r="X967" s="3"/>
      <c r="Y967" s="3"/>
      <c r="Z967" s="3"/>
    </row>
    <row r="968">
      <c r="A968" s="3"/>
      <c r="B968" s="1"/>
      <c r="C968" s="1"/>
      <c r="D968" s="3"/>
      <c r="E968" s="5"/>
      <c r="F968" s="3"/>
      <c r="G968" s="3"/>
      <c r="H968" s="3"/>
      <c r="I968" s="3"/>
      <c r="J968" s="5"/>
      <c r="K968" s="3"/>
      <c r="L968" s="3"/>
      <c r="M968" s="3"/>
      <c r="N968" s="3"/>
      <c r="O968" s="3"/>
      <c r="P968" s="3"/>
      <c r="Q968" s="3"/>
      <c r="R968" s="3"/>
      <c r="S968" s="3"/>
      <c r="T968" s="3"/>
      <c r="U968" s="3"/>
      <c r="V968" s="3"/>
      <c r="W968" s="3"/>
      <c r="X968" s="3"/>
      <c r="Y968" s="3"/>
      <c r="Z968" s="3"/>
    </row>
    <row r="969">
      <c r="A969" s="3"/>
      <c r="B969" s="1"/>
      <c r="C969" s="1"/>
      <c r="D969" s="3"/>
      <c r="E969" s="5"/>
      <c r="F969" s="3"/>
      <c r="G969" s="3"/>
      <c r="H969" s="3"/>
      <c r="I969" s="3"/>
      <c r="J969" s="5"/>
      <c r="K969" s="3"/>
      <c r="L969" s="3"/>
      <c r="M969" s="3"/>
      <c r="N969" s="3"/>
      <c r="O969" s="3"/>
      <c r="P969" s="3"/>
      <c r="Q969" s="3"/>
      <c r="R969" s="3"/>
      <c r="S969" s="3"/>
      <c r="T969" s="3"/>
      <c r="U969" s="3"/>
      <c r="V969" s="3"/>
      <c r="W969" s="3"/>
      <c r="X969" s="3"/>
      <c r="Y969" s="3"/>
      <c r="Z969" s="3"/>
    </row>
    <row r="970">
      <c r="A970" s="3"/>
      <c r="B970" s="1"/>
      <c r="C970" s="1"/>
      <c r="D970" s="3"/>
      <c r="E970" s="5"/>
      <c r="F970" s="3"/>
      <c r="G970" s="3"/>
      <c r="H970" s="3"/>
      <c r="I970" s="3"/>
      <c r="J970" s="5"/>
      <c r="K970" s="3"/>
      <c r="L970" s="3"/>
      <c r="M970" s="3"/>
      <c r="N970" s="3"/>
      <c r="O970" s="3"/>
      <c r="P970" s="3"/>
      <c r="Q970" s="3"/>
      <c r="R970" s="3"/>
      <c r="S970" s="3"/>
      <c r="T970" s="3"/>
      <c r="U970" s="3"/>
      <c r="V970" s="3"/>
      <c r="W970" s="3"/>
      <c r="X970" s="3"/>
      <c r="Y970" s="3"/>
      <c r="Z970" s="3"/>
    </row>
    <row r="971">
      <c r="A971" s="3"/>
      <c r="B971" s="1"/>
      <c r="C971" s="1"/>
      <c r="D971" s="3"/>
      <c r="E971" s="5"/>
      <c r="F971" s="3"/>
      <c r="G971" s="3"/>
      <c r="H971" s="3"/>
      <c r="I971" s="3"/>
      <c r="J971" s="5"/>
      <c r="K971" s="3"/>
      <c r="L971" s="3"/>
      <c r="M971" s="3"/>
      <c r="N971" s="3"/>
      <c r="O971" s="3"/>
      <c r="P971" s="3"/>
      <c r="Q971" s="3"/>
      <c r="R971" s="3"/>
      <c r="S971" s="3"/>
      <c r="T971" s="3"/>
      <c r="U971" s="3"/>
      <c r="V971" s="3"/>
      <c r="W971" s="3"/>
      <c r="X971" s="3"/>
      <c r="Y971" s="3"/>
      <c r="Z971" s="3"/>
    </row>
    <row r="972">
      <c r="A972" s="3"/>
      <c r="B972" s="1"/>
      <c r="C972" s="1"/>
      <c r="D972" s="3"/>
      <c r="E972" s="5"/>
      <c r="F972" s="3"/>
      <c r="G972" s="3"/>
      <c r="H972" s="3"/>
      <c r="I972" s="3"/>
      <c r="J972" s="5"/>
      <c r="K972" s="3"/>
      <c r="L972" s="3"/>
      <c r="M972" s="3"/>
      <c r="N972" s="3"/>
      <c r="O972" s="3"/>
      <c r="P972" s="3"/>
      <c r="Q972" s="3"/>
      <c r="R972" s="3"/>
      <c r="S972" s="3"/>
      <c r="T972" s="3"/>
      <c r="U972" s="3"/>
      <c r="V972" s="3"/>
      <c r="W972" s="3"/>
      <c r="X972" s="3"/>
      <c r="Y972" s="3"/>
      <c r="Z972" s="3"/>
    </row>
    <row r="973">
      <c r="A973" s="3"/>
      <c r="B973" s="1"/>
      <c r="C973" s="1"/>
      <c r="D973" s="3"/>
      <c r="E973" s="5"/>
      <c r="F973" s="3"/>
      <c r="G973" s="3"/>
      <c r="H973" s="3"/>
      <c r="I973" s="3"/>
      <c r="J973" s="5"/>
      <c r="K973" s="3"/>
      <c r="L973" s="3"/>
      <c r="M973" s="3"/>
      <c r="N973" s="3"/>
      <c r="O973" s="3"/>
      <c r="P973" s="3"/>
      <c r="Q973" s="3"/>
      <c r="R973" s="3"/>
      <c r="S973" s="3"/>
      <c r="T973" s="3"/>
      <c r="U973" s="3"/>
      <c r="V973" s="3"/>
      <c r="W973" s="3"/>
      <c r="X973" s="3"/>
      <c r="Y973" s="3"/>
      <c r="Z973" s="3"/>
    </row>
    <row r="974">
      <c r="A974" s="3"/>
      <c r="B974" s="1"/>
      <c r="C974" s="1"/>
      <c r="D974" s="3"/>
      <c r="E974" s="5"/>
      <c r="F974" s="3"/>
      <c r="G974" s="3"/>
      <c r="H974" s="3"/>
      <c r="I974" s="3"/>
      <c r="J974" s="5"/>
      <c r="K974" s="3"/>
      <c r="L974" s="3"/>
      <c r="M974" s="3"/>
      <c r="N974" s="3"/>
      <c r="O974" s="3"/>
      <c r="P974" s="3"/>
      <c r="Q974" s="3"/>
      <c r="R974" s="3"/>
      <c r="S974" s="3"/>
      <c r="T974" s="3"/>
      <c r="U974" s="3"/>
      <c r="V974" s="3"/>
      <c r="W974" s="3"/>
      <c r="X974" s="3"/>
      <c r="Y974" s="3"/>
      <c r="Z974" s="3"/>
    </row>
    <row r="975">
      <c r="A975" s="3"/>
      <c r="B975" s="1"/>
      <c r="C975" s="1"/>
      <c r="D975" s="3"/>
      <c r="E975" s="5"/>
      <c r="F975" s="3"/>
      <c r="G975" s="3"/>
      <c r="H975" s="3"/>
      <c r="I975" s="3"/>
      <c r="J975" s="5"/>
      <c r="K975" s="3"/>
      <c r="L975" s="3"/>
      <c r="M975" s="3"/>
      <c r="N975" s="3"/>
      <c r="O975" s="3"/>
      <c r="P975" s="3"/>
      <c r="Q975" s="3"/>
      <c r="R975" s="3"/>
      <c r="S975" s="3"/>
      <c r="T975" s="3"/>
      <c r="U975" s="3"/>
      <c r="V975" s="3"/>
      <c r="W975" s="3"/>
      <c r="X975" s="3"/>
      <c r="Y975" s="3"/>
      <c r="Z975" s="3"/>
    </row>
    <row r="976">
      <c r="A976" s="3"/>
      <c r="B976" s="1"/>
      <c r="C976" s="1"/>
      <c r="D976" s="3"/>
      <c r="E976" s="5"/>
      <c r="F976" s="3"/>
      <c r="G976" s="3"/>
      <c r="H976" s="3"/>
      <c r="I976" s="3"/>
      <c r="J976" s="5"/>
      <c r="K976" s="3"/>
      <c r="L976" s="3"/>
      <c r="M976" s="3"/>
      <c r="N976" s="3"/>
      <c r="O976" s="3"/>
      <c r="P976" s="3"/>
      <c r="Q976" s="3"/>
      <c r="R976" s="3"/>
      <c r="S976" s="3"/>
      <c r="T976" s="3"/>
      <c r="U976" s="3"/>
      <c r="V976" s="3"/>
      <c r="W976" s="3"/>
      <c r="X976" s="3"/>
      <c r="Y976" s="3"/>
      <c r="Z976" s="3"/>
    </row>
    <row r="977">
      <c r="A977" s="3"/>
      <c r="B977" s="1"/>
      <c r="C977" s="1"/>
      <c r="D977" s="3"/>
      <c r="E977" s="5"/>
      <c r="F977" s="3"/>
      <c r="G977" s="3"/>
      <c r="H977" s="3"/>
      <c r="I977" s="3"/>
      <c r="J977" s="5"/>
      <c r="K977" s="3"/>
      <c r="L977" s="3"/>
      <c r="M977" s="3"/>
      <c r="N977" s="3"/>
      <c r="O977" s="3"/>
      <c r="P977" s="3"/>
      <c r="Q977" s="3"/>
      <c r="R977" s="3"/>
      <c r="S977" s="3"/>
      <c r="T977" s="3"/>
      <c r="U977" s="3"/>
      <c r="V977" s="3"/>
      <c r="W977" s="3"/>
      <c r="X977" s="3"/>
      <c r="Y977" s="3"/>
      <c r="Z977" s="3"/>
    </row>
    <row r="978">
      <c r="A978" s="3"/>
      <c r="B978" s="1"/>
      <c r="C978" s="1"/>
      <c r="D978" s="3"/>
      <c r="E978" s="5"/>
      <c r="F978" s="3"/>
      <c r="G978" s="3"/>
      <c r="H978" s="3"/>
      <c r="I978" s="3"/>
      <c r="J978" s="5"/>
      <c r="K978" s="3"/>
      <c r="L978" s="3"/>
      <c r="M978" s="3"/>
      <c r="N978" s="3"/>
      <c r="O978" s="3"/>
      <c r="P978" s="3"/>
      <c r="Q978" s="3"/>
      <c r="R978" s="3"/>
      <c r="S978" s="3"/>
      <c r="T978" s="3"/>
      <c r="U978" s="3"/>
      <c r="V978" s="3"/>
      <c r="W978" s="3"/>
      <c r="X978" s="3"/>
      <c r="Y978" s="3"/>
      <c r="Z978" s="3"/>
    </row>
    <row r="979">
      <c r="A979" s="3"/>
      <c r="B979" s="1"/>
      <c r="C979" s="1"/>
      <c r="D979" s="3"/>
      <c r="E979" s="5"/>
      <c r="F979" s="3"/>
      <c r="G979" s="3"/>
      <c r="H979" s="3"/>
      <c r="I979" s="3"/>
      <c r="J979" s="5"/>
      <c r="K979" s="3"/>
      <c r="L979" s="3"/>
      <c r="M979" s="3"/>
      <c r="N979" s="3"/>
      <c r="O979" s="3"/>
      <c r="P979" s="3"/>
      <c r="Q979" s="3"/>
      <c r="R979" s="3"/>
      <c r="S979" s="3"/>
      <c r="T979" s="3"/>
      <c r="U979" s="3"/>
      <c r="V979" s="3"/>
      <c r="W979" s="3"/>
      <c r="X979" s="3"/>
      <c r="Y979" s="3"/>
      <c r="Z979" s="3"/>
    </row>
    <row r="980">
      <c r="A980" s="3"/>
      <c r="B980" s="1"/>
      <c r="C980" s="1"/>
      <c r="D980" s="3"/>
      <c r="E980" s="5"/>
      <c r="F980" s="3"/>
      <c r="G980" s="3"/>
      <c r="H980" s="3"/>
      <c r="I980" s="3"/>
      <c r="J980" s="5"/>
      <c r="K980" s="3"/>
      <c r="L980" s="3"/>
      <c r="M980" s="3"/>
      <c r="N980" s="3"/>
      <c r="O980" s="3"/>
      <c r="P980" s="3"/>
      <c r="Q980" s="3"/>
      <c r="R980" s="3"/>
      <c r="S980" s="3"/>
      <c r="T980" s="3"/>
      <c r="U980" s="3"/>
      <c r="V980" s="3"/>
      <c r="W980" s="3"/>
      <c r="X980" s="3"/>
      <c r="Y980" s="3"/>
      <c r="Z980" s="3"/>
    </row>
    <row r="981">
      <c r="A981" s="3"/>
      <c r="B981" s="1"/>
      <c r="C981" s="1"/>
      <c r="D981" s="3"/>
      <c r="E981" s="5"/>
      <c r="F981" s="3"/>
      <c r="G981" s="3"/>
      <c r="H981" s="3"/>
      <c r="I981" s="3"/>
      <c r="J981" s="5"/>
      <c r="K981" s="3"/>
      <c r="L981" s="3"/>
      <c r="M981" s="3"/>
      <c r="N981" s="3"/>
      <c r="O981" s="3"/>
      <c r="P981" s="3"/>
      <c r="Q981" s="3"/>
      <c r="R981" s="3"/>
      <c r="S981" s="3"/>
      <c r="T981" s="3"/>
      <c r="U981" s="3"/>
      <c r="V981" s="3"/>
      <c r="W981" s="3"/>
      <c r="X981" s="3"/>
      <c r="Y981" s="3"/>
      <c r="Z981" s="3"/>
    </row>
    <row r="982">
      <c r="A982" s="3"/>
      <c r="B982" s="1"/>
      <c r="C982" s="1"/>
      <c r="D982" s="3"/>
      <c r="E982" s="5"/>
      <c r="F982" s="3"/>
      <c r="G982" s="3"/>
      <c r="H982" s="3"/>
      <c r="I982" s="3"/>
      <c r="J982" s="5"/>
      <c r="K982" s="3"/>
      <c r="L982" s="3"/>
      <c r="M982" s="3"/>
      <c r="N982" s="3"/>
      <c r="O982" s="3"/>
      <c r="P982" s="3"/>
      <c r="Q982" s="3"/>
      <c r="R982" s="3"/>
      <c r="S982" s="3"/>
      <c r="T982" s="3"/>
      <c r="U982" s="3"/>
      <c r="V982" s="3"/>
      <c r="W982" s="3"/>
      <c r="X982" s="3"/>
      <c r="Y982" s="3"/>
      <c r="Z982" s="3"/>
    </row>
    <row r="983">
      <c r="A983" s="3"/>
      <c r="B983" s="1"/>
      <c r="C983" s="1"/>
      <c r="D983" s="3"/>
      <c r="E983" s="5"/>
      <c r="F983" s="3"/>
      <c r="G983" s="3"/>
      <c r="H983" s="3"/>
      <c r="I983" s="3"/>
      <c r="J983" s="5"/>
      <c r="K983" s="3"/>
      <c r="L983" s="3"/>
      <c r="M983" s="3"/>
      <c r="N983" s="3"/>
      <c r="O983" s="3"/>
      <c r="P983" s="3"/>
      <c r="Q983" s="3"/>
      <c r="R983" s="3"/>
      <c r="S983" s="3"/>
      <c r="T983" s="3"/>
      <c r="U983" s="3"/>
      <c r="V983" s="3"/>
      <c r="W983" s="3"/>
      <c r="X983" s="3"/>
      <c r="Y983" s="3"/>
      <c r="Z983" s="3"/>
    </row>
    <row r="984">
      <c r="A984" s="3"/>
      <c r="B984" s="1"/>
      <c r="C984" s="1"/>
      <c r="D984" s="3"/>
      <c r="E984" s="5"/>
      <c r="F984" s="3"/>
      <c r="G984" s="3"/>
      <c r="H984" s="3"/>
      <c r="I984" s="3"/>
      <c r="J984" s="5"/>
      <c r="K984" s="3"/>
      <c r="L984" s="3"/>
      <c r="M984" s="3"/>
      <c r="N984" s="3"/>
      <c r="O984" s="3"/>
      <c r="P984" s="3"/>
      <c r="Q984" s="3"/>
      <c r="R984" s="3"/>
      <c r="S984" s="3"/>
      <c r="T984" s="3"/>
      <c r="U984" s="3"/>
      <c r="V984" s="3"/>
      <c r="W984" s="3"/>
      <c r="X984" s="3"/>
      <c r="Y984" s="3"/>
      <c r="Z984" s="3"/>
    </row>
    <row r="985">
      <c r="A985" s="3"/>
      <c r="B985" s="1"/>
      <c r="C985" s="1"/>
      <c r="D985" s="3"/>
      <c r="E985" s="5"/>
      <c r="F985" s="3"/>
      <c r="G985" s="3"/>
      <c r="H985" s="3"/>
      <c r="I985" s="3"/>
      <c r="J985" s="5"/>
      <c r="K985" s="3"/>
      <c r="L985" s="3"/>
      <c r="M985" s="3"/>
      <c r="N985" s="3"/>
      <c r="O985" s="3"/>
      <c r="P985" s="3"/>
      <c r="Q985" s="3"/>
      <c r="R985" s="3"/>
      <c r="S985" s="3"/>
      <c r="T985" s="3"/>
      <c r="U985" s="3"/>
      <c r="V985" s="3"/>
      <c r="W985" s="3"/>
      <c r="X985" s="3"/>
      <c r="Y985" s="3"/>
      <c r="Z985" s="3"/>
    </row>
    <row r="986">
      <c r="A986" s="3"/>
      <c r="B986" s="1"/>
      <c r="C986" s="1"/>
      <c r="D986" s="3"/>
      <c r="E986" s="5"/>
      <c r="F986" s="3"/>
      <c r="G986" s="3"/>
      <c r="H986" s="3"/>
      <c r="I986" s="3"/>
      <c r="J986" s="5"/>
      <c r="K986" s="3"/>
      <c r="L986" s="3"/>
      <c r="M986" s="3"/>
      <c r="N986" s="3"/>
      <c r="O986" s="3"/>
      <c r="P986" s="3"/>
      <c r="Q986" s="3"/>
      <c r="R986" s="3"/>
      <c r="S986" s="3"/>
      <c r="T986" s="3"/>
      <c r="U986" s="3"/>
      <c r="V986" s="3"/>
      <c r="W986" s="3"/>
      <c r="X986" s="3"/>
      <c r="Y986" s="3"/>
      <c r="Z986" s="3"/>
    </row>
    <row r="987">
      <c r="A987" s="3"/>
      <c r="B987" s="1"/>
      <c r="C987" s="1"/>
      <c r="D987" s="3"/>
      <c r="E987" s="5"/>
      <c r="F987" s="3"/>
      <c r="G987" s="3"/>
      <c r="H987" s="3"/>
      <c r="I987" s="3"/>
      <c r="J987" s="5"/>
      <c r="K987" s="3"/>
      <c r="L987" s="3"/>
      <c r="M987" s="3"/>
      <c r="N987" s="3"/>
      <c r="O987" s="3"/>
      <c r="P987" s="3"/>
      <c r="Q987" s="3"/>
      <c r="R987" s="3"/>
      <c r="S987" s="3"/>
      <c r="T987" s="3"/>
      <c r="U987" s="3"/>
      <c r="V987" s="3"/>
      <c r="W987" s="3"/>
      <c r="X987" s="3"/>
      <c r="Y987" s="3"/>
      <c r="Z987" s="3"/>
    </row>
    <row r="988">
      <c r="A988" s="3"/>
      <c r="B988" s="1"/>
      <c r="C988" s="1"/>
      <c r="D988" s="3"/>
      <c r="E988" s="5"/>
      <c r="F988" s="3"/>
      <c r="G988" s="3"/>
      <c r="H988" s="3"/>
      <c r="I988" s="3"/>
      <c r="J988" s="5"/>
      <c r="K988" s="3"/>
      <c r="L988" s="3"/>
      <c r="M988" s="3"/>
      <c r="N988" s="3"/>
      <c r="O988" s="3"/>
      <c r="P988" s="3"/>
      <c r="Q988" s="3"/>
      <c r="R988" s="3"/>
      <c r="S988" s="3"/>
      <c r="T988" s="3"/>
      <c r="U988" s="3"/>
      <c r="V988" s="3"/>
      <c r="W988" s="3"/>
      <c r="X988" s="3"/>
      <c r="Y988" s="3"/>
      <c r="Z988" s="3"/>
    </row>
    <row r="989">
      <c r="A989" s="3"/>
      <c r="B989" s="1"/>
      <c r="C989" s="1"/>
      <c r="D989" s="3"/>
      <c r="E989" s="5"/>
      <c r="F989" s="3"/>
      <c r="G989" s="3"/>
      <c r="H989" s="3"/>
      <c r="I989" s="3"/>
      <c r="J989" s="5"/>
      <c r="K989" s="3"/>
      <c r="L989" s="3"/>
      <c r="M989" s="3"/>
      <c r="N989" s="3"/>
      <c r="O989" s="3"/>
      <c r="P989" s="3"/>
      <c r="Q989" s="3"/>
      <c r="R989" s="3"/>
      <c r="S989" s="3"/>
      <c r="T989" s="3"/>
      <c r="U989" s="3"/>
      <c r="V989" s="3"/>
      <c r="W989" s="3"/>
      <c r="X989" s="3"/>
      <c r="Y989" s="3"/>
      <c r="Z989" s="3"/>
    </row>
    <row r="990">
      <c r="A990" s="3"/>
      <c r="B990" s="1"/>
      <c r="C990" s="1"/>
      <c r="D990" s="3"/>
      <c r="E990" s="5"/>
      <c r="F990" s="3"/>
      <c r="G990" s="3"/>
      <c r="H990" s="3"/>
      <c r="I990" s="3"/>
      <c r="J990" s="5"/>
      <c r="K990" s="3"/>
      <c r="L990" s="3"/>
      <c r="M990" s="3"/>
      <c r="N990" s="3"/>
      <c r="O990" s="3"/>
      <c r="P990" s="3"/>
      <c r="Q990" s="3"/>
      <c r="R990" s="3"/>
      <c r="S990" s="3"/>
      <c r="T990" s="3"/>
      <c r="U990" s="3"/>
      <c r="V990" s="3"/>
      <c r="W990" s="3"/>
      <c r="X990" s="3"/>
      <c r="Y990" s="3"/>
      <c r="Z990" s="3"/>
    </row>
    <row r="991">
      <c r="A991" s="3"/>
      <c r="B991" s="1"/>
      <c r="C991" s="1"/>
      <c r="D991" s="3"/>
      <c r="E991" s="5"/>
      <c r="F991" s="3"/>
      <c r="G991" s="3"/>
      <c r="H991" s="3"/>
      <c r="I991" s="3"/>
      <c r="J991" s="5"/>
      <c r="K991" s="3"/>
      <c r="L991" s="3"/>
      <c r="M991" s="3"/>
      <c r="N991" s="3"/>
      <c r="O991" s="3"/>
      <c r="P991" s="3"/>
      <c r="Q991" s="3"/>
      <c r="R991" s="3"/>
      <c r="S991" s="3"/>
      <c r="T991" s="3"/>
      <c r="U991" s="3"/>
      <c r="V991" s="3"/>
      <c r="W991" s="3"/>
      <c r="X991" s="3"/>
      <c r="Y991" s="3"/>
      <c r="Z991" s="3"/>
    </row>
    <row r="992">
      <c r="A992" s="3"/>
      <c r="B992" s="1"/>
      <c r="C992" s="1"/>
      <c r="D992" s="3"/>
      <c r="E992" s="5"/>
      <c r="F992" s="3"/>
      <c r="G992" s="3"/>
      <c r="H992" s="3"/>
      <c r="I992" s="3"/>
      <c r="J992" s="5"/>
      <c r="K992" s="3"/>
      <c r="L992" s="3"/>
      <c r="M992" s="3"/>
      <c r="N992" s="3"/>
      <c r="O992" s="3"/>
      <c r="P992" s="3"/>
      <c r="Q992" s="3"/>
      <c r="R992" s="3"/>
      <c r="S992" s="3"/>
      <c r="T992" s="3"/>
      <c r="U992" s="3"/>
      <c r="V992" s="3"/>
      <c r="W992" s="3"/>
      <c r="X992" s="3"/>
      <c r="Y992" s="3"/>
      <c r="Z992" s="3"/>
    </row>
    <row r="993">
      <c r="A993" s="3"/>
      <c r="B993" s="1"/>
      <c r="C993" s="1"/>
      <c r="D993" s="3"/>
      <c r="E993" s="5"/>
      <c r="F993" s="3"/>
      <c r="G993" s="3"/>
      <c r="H993" s="3"/>
      <c r="I993" s="3"/>
      <c r="J993" s="5"/>
      <c r="K993" s="3"/>
      <c r="L993" s="3"/>
      <c r="M993" s="3"/>
      <c r="N993" s="3"/>
      <c r="O993" s="3"/>
      <c r="P993" s="3"/>
      <c r="Q993" s="3"/>
      <c r="R993" s="3"/>
      <c r="S993" s="3"/>
      <c r="T993" s="3"/>
      <c r="U993" s="3"/>
      <c r="V993" s="3"/>
      <c r="W993" s="3"/>
      <c r="X993" s="3"/>
      <c r="Y993" s="3"/>
      <c r="Z993" s="3"/>
    </row>
    <row r="994">
      <c r="A994" s="3"/>
      <c r="B994" s="1"/>
      <c r="C994" s="1"/>
      <c r="D994" s="3"/>
      <c r="E994" s="5"/>
      <c r="F994" s="3"/>
      <c r="G994" s="3"/>
      <c r="H994" s="3"/>
      <c r="I994" s="3"/>
      <c r="J994" s="5"/>
      <c r="K994" s="3"/>
      <c r="L994" s="3"/>
      <c r="M994" s="3"/>
      <c r="N994" s="3"/>
      <c r="O994" s="3"/>
      <c r="P994" s="3"/>
      <c r="Q994" s="3"/>
      <c r="R994" s="3"/>
      <c r="S994" s="3"/>
      <c r="T994" s="3"/>
      <c r="U994" s="3"/>
      <c r="V994" s="3"/>
      <c r="W994" s="3"/>
      <c r="X994" s="3"/>
      <c r="Y994" s="3"/>
      <c r="Z994" s="3"/>
    </row>
    <row r="995">
      <c r="A995" s="3"/>
      <c r="B995" s="1"/>
      <c r="C995" s="1"/>
      <c r="D995" s="3"/>
      <c r="E995" s="5"/>
      <c r="F995" s="3"/>
      <c r="G995" s="3"/>
      <c r="H995" s="3"/>
      <c r="I995" s="3"/>
      <c r="J995" s="5"/>
      <c r="K995" s="3"/>
      <c r="L995" s="3"/>
      <c r="M995" s="3"/>
      <c r="N995" s="3"/>
      <c r="O995" s="3"/>
      <c r="P995" s="3"/>
      <c r="Q995" s="3"/>
      <c r="R995" s="3"/>
      <c r="S995" s="3"/>
      <c r="T995" s="3"/>
      <c r="U995" s="3"/>
      <c r="V995" s="3"/>
      <c r="W995" s="3"/>
      <c r="X995" s="3"/>
      <c r="Y995" s="3"/>
      <c r="Z995" s="3"/>
    </row>
    <row r="996">
      <c r="A996" s="3"/>
      <c r="B996" s="1"/>
      <c r="C996" s="1"/>
      <c r="D996" s="3"/>
      <c r="E996" s="5"/>
      <c r="F996" s="3"/>
      <c r="G996" s="3"/>
      <c r="H996" s="3"/>
      <c r="I996" s="3"/>
      <c r="J996" s="5"/>
      <c r="K996" s="3"/>
      <c r="L996" s="3"/>
      <c r="M996" s="3"/>
      <c r="N996" s="3"/>
      <c r="O996" s="3"/>
      <c r="P996" s="3"/>
      <c r="Q996" s="3"/>
      <c r="R996" s="3"/>
      <c r="S996" s="3"/>
      <c r="T996" s="3"/>
      <c r="U996" s="3"/>
      <c r="V996" s="3"/>
      <c r="W996" s="3"/>
      <c r="X996" s="3"/>
      <c r="Y996" s="3"/>
      <c r="Z996" s="3"/>
    </row>
    <row r="997">
      <c r="A997" s="3"/>
      <c r="B997" s="1"/>
      <c r="C997" s="1"/>
      <c r="D997" s="3"/>
      <c r="E997" s="5"/>
      <c r="F997" s="3"/>
      <c r="G997" s="3"/>
      <c r="H997" s="3"/>
      <c r="I997" s="3"/>
      <c r="J997" s="5"/>
      <c r="K997" s="3"/>
      <c r="L997" s="3"/>
      <c r="M997" s="3"/>
      <c r="N997" s="3"/>
      <c r="O997" s="3"/>
      <c r="P997" s="3"/>
      <c r="Q997" s="3"/>
      <c r="R997" s="3"/>
      <c r="S997" s="3"/>
      <c r="T997" s="3"/>
      <c r="U997" s="3"/>
      <c r="V997" s="3"/>
      <c r="W997" s="3"/>
      <c r="X997" s="3"/>
      <c r="Y997" s="3"/>
      <c r="Z997" s="3"/>
    </row>
    <row r="998">
      <c r="A998" s="3"/>
      <c r="B998" s="1"/>
      <c r="C998" s="1"/>
      <c r="D998" s="3"/>
      <c r="E998" s="5"/>
      <c r="F998" s="3"/>
      <c r="G998" s="3"/>
      <c r="H998" s="3"/>
      <c r="I998" s="3"/>
      <c r="J998" s="5"/>
      <c r="K998" s="3"/>
      <c r="L998" s="3"/>
      <c r="M998" s="3"/>
      <c r="N998" s="3"/>
      <c r="O998" s="3"/>
      <c r="P998" s="3"/>
      <c r="Q998" s="3"/>
      <c r="R998" s="3"/>
      <c r="S998" s="3"/>
      <c r="T998" s="3"/>
      <c r="U998" s="3"/>
      <c r="V998" s="3"/>
      <c r="W998" s="3"/>
      <c r="X998" s="3"/>
      <c r="Y998" s="3"/>
      <c r="Z998" s="3"/>
    </row>
    <row r="999">
      <c r="A999" s="3"/>
      <c r="B999" s="1"/>
      <c r="C999" s="1"/>
      <c r="D999" s="3"/>
      <c r="E999" s="5"/>
      <c r="F999" s="3"/>
      <c r="G999" s="3"/>
      <c r="H999" s="3"/>
      <c r="I999" s="3"/>
      <c r="J999" s="5"/>
      <c r="K999" s="3"/>
      <c r="L999" s="3"/>
      <c r="M999" s="3"/>
      <c r="N999" s="3"/>
      <c r="O999" s="3"/>
      <c r="P999" s="3"/>
      <c r="Q999" s="3"/>
      <c r="R999" s="3"/>
      <c r="S999" s="3"/>
      <c r="T999" s="3"/>
      <c r="U999" s="3"/>
      <c r="V999" s="3"/>
      <c r="W999" s="3"/>
      <c r="X999" s="3"/>
      <c r="Y999" s="3"/>
      <c r="Z999" s="3"/>
    </row>
    <row r="1000">
      <c r="A1000" s="3"/>
      <c r="B1000" s="1"/>
      <c r="C1000" s="1"/>
      <c r="D1000" s="3"/>
      <c r="E1000" s="5"/>
      <c r="F1000" s="3"/>
      <c r="G1000" s="3"/>
      <c r="H1000" s="3"/>
      <c r="I1000" s="3"/>
      <c r="J1000" s="5"/>
      <c r="K1000" s="3"/>
      <c r="L1000" s="3"/>
      <c r="M1000" s="3"/>
      <c r="N1000" s="3"/>
      <c r="O1000" s="3"/>
      <c r="P1000" s="3"/>
      <c r="Q1000" s="3"/>
      <c r="R1000" s="3"/>
      <c r="S1000" s="3"/>
      <c r="T1000" s="3"/>
      <c r="U1000" s="3"/>
      <c r="V1000" s="3"/>
      <c r="W1000" s="3"/>
      <c r="X1000" s="3"/>
      <c r="Y1000" s="3"/>
      <c r="Z1000" s="3"/>
    </row>
  </sheetData>
  <autoFilter ref="$A$1:$L$475"/>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2026-08-07T07:13:11Z</dcterms:created>
  <dc:creator>Chun Hung Lin</dc:creator>
</cp:coreProperties>
</file>